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A02F46D4-E3FC-4FEA-8EE8-F9A60159E9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 Me" sheetId="1" r:id="rId1"/>
    <sheet name="Inputs" sheetId="2" r:id="rId2"/>
    <sheet name="Sizer" sheetId="3" r:id="rId3"/>
    <sheet name="Reference Tables" sheetId="4" r:id="rId4"/>
    <sheet name="Assumptions &amp; Open Item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3" l="1"/>
  <c r="B105" i="3"/>
  <c r="B104" i="3"/>
  <c r="B102" i="3"/>
  <c r="B101" i="3"/>
  <c r="B100" i="3"/>
  <c r="B99" i="3"/>
  <c r="B98" i="3"/>
  <c r="B97" i="3"/>
  <c r="B96" i="3"/>
  <c r="B95" i="3"/>
  <c r="B94" i="3"/>
  <c r="B93" i="3"/>
  <c r="C87" i="3"/>
  <c r="C86" i="3"/>
  <c r="C85" i="3"/>
  <c r="C74" i="3"/>
  <c r="D74" i="3" s="1"/>
  <c r="C73" i="3"/>
  <c r="D73" i="3" s="1"/>
  <c r="C72" i="3"/>
  <c r="D72" i="3" s="1"/>
  <c r="C71" i="3"/>
  <c r="D71" i="3" s="1"/>
  <c r="C70" i="3"/>
  <c r="D70" i="3" s="1"/>
  <c r="C69" i="3"/>
  <c r="D69" i="3" s="1"/>
  <c r="C62" i="3"/>
  <c r="D62" i="3" s="1"/>
  <c r="C61" i="3"/>
  <c r="D61" i="3" s="1"/>
  <c r="C60" i="3"/>
  <c r="D60" i="3" s="1"/>
  <c r="C59" i="3"/>
  <c r="D59" i="3" s="1"/>
  <c r="C58" i="3"/>
  <c r="D58" i="3" s="1"/>
  <c r="C57" i="3"/>
  <c r="D57" i="3" s="1"/>
  <c r="C56" i="3"/>
  <c r="D56" i="3" s="1"/>
  <c r="C54" i="3"/>
  <c r="C48" i="3"/>
  <c r="D48" i="3" s="1"/>
  <c r="C47" i="3"/>
  <c r="D47" i="3" s="1"/>
  <c r="C46" i="3"/>
  <c r="D46" i="3" s="1"/>
  <c r="C45" i="3"/>
  <c r="D45" i="3" s="1"/>
  <c r="C44" i="3"/>
  <c r="D44" i="3" s="1"/>
  <c r="C43" i="3"/>
  <c r="D43" i="3" s="1"/>
  <c r="C42" i="3"/>
  <c r="D42" i="3" s="1"/>
  <c r="C41" i="3"/>
  <c r="D41" i="3" s="1"/>
  <c r="C40" i="3"/>
  <c r="D40" i="3" s="1"/>
  <c r="C34" i="3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 a="1"/>
  <c r="D25" i="3" s="1"/>
  <c r="C24" i="3"/>
  <c r="D24" i="3" s="1" a="1"/>
  <c r="D24" i="3" s="1"/>
  <c r="C23" i="3"/>
  <c r="D23" i="3" s="1" a="1"/>
  <c r="D23" i="3" s="1"/>
  <c r="C22" i="3"/>
  <c r="D22" i="3" s="1"/>
  <c r="C21" i="3"/>
  <c r="D21" i="3" s="1" a="1"/>
  <c r="D21" i="3" s="1"/>
  <c r="C20" i="3"/>
  <c r="D20" i="3" s="1"/>
  <c r="C18" i="3"/>
  <c r="D18" i="3" s="1" a="1"/>
  <c r="D18" i="3" s="1"/>
  <c r="C17" i="3"/>
  <c r="D17" i="3" s="1"/>
  <c r="C16" i="3"/>
  <c r="C11" i="3"/>
  <c r="C10" i="3"/>
  <c r="C8" i="3"/>
  <c r="C7" i="3"/>
  <c r="C6" i="3"/>
  <c r="C5" i="3"/>
  <c r="C9" i="3" l="1" a="1"/>
  <c r="C9" i="3" s="1"/>
  <c r="B103" i="3"/>
  <c r="C75" i="3"/>
  <c r="D75" i="3" s="1"/>
  <c r="C12" i="3"/>
  <c r="D16" i="3"/>
  <c r="D54" i="3"/>
  <c r="C55" i="3" l="1"/>
  <c r="D55" i="3" s="1"/>
  <c r="C64" i="3" s="1"/>
  <c r="C84" i="3" s="1"/>
  <c r="C19" i="3"/>
  <c r="D19" i="3" s="1"/>
  <c r="C33" i="3" s="1"/>
  <c r="C35" i="3" s="1"/>
  <c r="C88" i="3" l="1"/>
  <c r="C81" i="3"/>
  <c r="C82" i="3"/>
  <c r="C68" i="3"/>
  <c r="D68" i="3" s="1"/>
  <c r="C77" i="3" s="1"/>
  <c r="C39" i="3"/>
  <c r="D39" i="3" s="1"/>
  <c r="C50" i="3" s="1"/>
  <c r="C83" i="3" s="1"/>
  <c r="C89" i="3" l="1"/>
</calcChain>
</file>

<file path=xl/sharedStrings.xml><?xml version="1.0" encoding="utf-8"?>
<sst xmlns="http://schemas.openxmlformats.org/spreadsheetml/2006/main" count="484" uniqueCount="376">
  <si>
    <t>Acra Lending — Standard DSCR Program</t>
  </si>
  <si>
    <t>Underwriting Sizer  |  Built from: Acra_DSCR_Standard_Consolidated_Guidelines_v1_0.pdf (Version 1.0, Sept 2026)</t>
  </si>
  <si>
    <t>What this tool is</t>
  </si>
  <si>
    <t>This workbook sizes a loan against Acra Lending's Standard (Business Purpose) DSCR program as described in the</t>
  </si>
  <si>
    <t>consolidated guidelines document supplied. It computes the calculated DSCR, walks every CLTV cap, minimum-FICO</t>
  </si>
  <si>
    <t>trigger, minimum-DSCR trigger and reserve trigger that the guidelines state, and returns a maximum loan amount</t>
  </si>
  <si>
    <t>and a pass/fail eligibility read-out.</t>
  </si>
  <si>
    <t>IMPORTANT — this source document is itself a draft submitted to Acra Lending for confirmation. It contains 27</t>
  </si>
  <si>
    <t>open questions ("Q-01" through "Q-27") where the guidelines are silent, unclear, or state two different rules.</t>
  </si>
  <si>
    <t>Wherever this sizer had to pick an approach to build a working formula, that choice is documented in the</t>
  </si>
  <si>
    <t>'Assumptions &amp; Open Items' tab, tagged back to the relevant Q-number. Do not treat this sizer as a substitute for</t>
  </si>
  <si>
    <t>Acra's underwriting sign-off — treat it as a pre-screen that flags where a human underwriter (or Acra confirmation)</t>
  </si>
  <si>
    <t>is required.</t>
  </si>
  <si>
    <t>How to use it</t>
  </si>
  <si>
    <t>1. Open the 'Inputs' tab. Fill in every blue cell (yellow-filled). Dropdowns are provided where the guideline</t>
  </si>
  <si>
    <t xml:space="preserve">     defines a fixed set of categories.</t>
  </si>
  <si>
    <t>2. Open the 'Sizer' tab. Every value there is a formula — nothing to type. It shows:</t>
  </si>
  <si>
    <t xml:space="preserve">        • the calculated DSCR and its inputs</t>
  </si>
  <si>
    <t xml:space="preserve">        • every CLTV cap that applies to your scenario and the binding (lowest) one</t>
  </si>
  <si>
    <t xml:space="preserve">        • the minimum DSCR, minimum FICO and reserve months your scenario triggers</t>
  </si>
  <si>
    <t xml:space="preserve">        • the resulting maximum loan amount and a PASS/FAIL test against what was requested</t>
  </si>
  <si>
    <t xml:space="preserve">        • a flags &amp; notes panel for conditions the guidelines require but that aren't a simple numeric cap</t>
  </si>
  <si>
    <t>3. Check the 'Flags &amp; Notes' panel at the bottom of the Sizer tab and the 'Assumptions &amp; Open Items' tab before</t>
  </si>
  <si>
    <t xml:space="preserve">     relying on the output.</t>
  </si>
  <si>
    <t>4. 'Reference Tables' holds every matrix, table and lookup transcribed from the guidelines, cited to its STD-</t>
  </si>
  <si>
    <t xml:space="preserve">     paragraph. The Sizer pulls from these tables; edit them only if Acra corrects a published figure.</t>
  </si>
  <si>
    <t>Color legend</t>
  </si>
  <si>
    <t>Yellow fill, blue bold text — Input cell — type your scenario data here</t>
  </si>
  <si>
    <t>Black text — Formula — calculated automatically, do not overtype</t>
  </si>
  <si>
    <t>Green fill — Test passed</t>
  </si>
  <si>
    <t>Red fill — Test failed</t>
  </si>
  <si>
    <t>Amber fill — Requires manual review / Acra confirmation</t>
  </si>
  <si>
    <t>Scope and limits of this sizer</t>
  </si>
  <si>
    <t>• Covers the Standard DSCR matrix, DSCR/No-Ratio qualification, borrower-citizenship caps, credit-history caps,</t>
  </si>
  <si>
    <t xml:space="preserve">   property-type caps, vacant-property and listed-for-sale refinance rules, short-term rental, first-time</t>
  </si>
  <si>
    <t xml:space="preserve">   homebuyer, escrow waiver, rural/unique and mixed-use overlays, and the reserve triggers stated in the guide.</t>
  </si>
  <si>
    <t>• Does NOT automate: state-by-state prepayment penalty selection (shown for reference only — see Q-24 on what</t>
  </si>
  <si>
    <t xml:space="preserve">   'BUY-OUT' requires), entity/trust/guarantor documentation checklists, foreign-national closing-document and</t>
  </si>
  <si>
    <t xml:space="preserve">   AML/OFAC requirements, gift-fund seasoning documentation, or DTI-program alternatives (Q-14) — these remain</t>
  </si>
  <si>
    <t xml:space="preserve">   manual underwriting steps and are called out as flags where they intersect with the sizer's numeric output.</t>
  </si>
  <si>
    <t>• Where the guideline states two different rules and asks Acra to pick one (e.g., Q-01 on qualifying rent, Q-07</t>
  </si>
  <si>
    <t xml:space="preserve">   on how caps combine), the sizer applies the more conservative reading and documents it. Confirm with Acra</t>
  </si>
  <si>
    <t xml:space="preserve">   before using this for a final credit decision.</t>
  </si>
  <si>
    <t>Loan Scenario Inputs</t>
  </si>
  <si>
    <t>Fill in every yellow cell. Dropdowns list the categories the guidelines define.</t>
  </si>
  <si>
    <t>1. Transaction</t>
  </si>
  <si>
    <t>Transaction Purpose</t>
  </si>
  <si>
    <t>Purchase</t>
  </si>
  <si>
    <t>S: matrix columns</t>
  </si>
  <si>
    <t>Loan Amount Requested ($)</t>
  </si>
  <si>
    <t>S: Loan Amount ($100,000-$3,000,000, $50 increments)</t>
  </si>
  <si>
    <t>As-Is Value / Purchase Price ($)</t>
  </si>
  <si>
    <t>Used to test CLTV</t>
  </si>
  <si>
    <t>Subject Property State (2-letter)</t>
  </si>
  <si>
    <t>CA</t>
  </si>
  <si>
    <t>S: Subject Property Location — SD ineligible</t>
  </si>
  <si>
    <t>Delayed Financing?</t>
  </si>
  <si>
    <t>N</t>
  </si>
  <si>
    <t>STD-1.4 — capped at $1.5MM; column/cash-in-hand rule per Q-06</t>
  </si>
  <si>
    <t>2. Borrower</t>
  </si>
  <si>
    <t>Borrower Citizenship</t>
  </si>
  <si>
    <t>US Citizen</t>
  </si>
  <si>
    <t>S: Borrower Citizenship</t>
  </si>
  <si>
    <t>Entity Borrower?</t>
  </si>
  <si>
    <t>G §3.12 — triggers entity/guarantor documentation, STD-6.x</t>
  </si>
  <si>
    <t>First-Time Homebuyer (all borrowers)?</t>
  </si>
  <si>
    <t>G §3.13; S: Restrictions</t>
  </si>
  <si>
    <t>Decisioning FICO Score</t>
  </si>
  <si>
    <t>Which score governs is open — Q-19</t>
  </si>
  <si>
    <t>Number of Credit Bureau Scores Reported</t>
  </si>
  <si>
    <t>3</t>
  </si>
  <si>
    <t>S: Credit Requirements</t>
  </si>
  <si>
    <t>If ≤ 2 scores: tradeline overlay met? (2TL/24mo or 3TL/12mo)</t>
  </si>
  <si>
    <t>N/A</t>
  </si>
  <si>
    <t>STD-7.2 — leave N/A if 3 scores reported</t>
  </si>
  <si>
    <t>3. Credit History</t>
  </si>
  <si>
    <t>Mortgage / Rental Housing History</t>
  </si>
  <si>
    <t>Clean / No Restriction</t>
  </si>
  <si>
    <t>S: Housing History &amp; PCEs (labels undefined — Q-05)</t>
  </si>
  <si>
    <t>Bankruptcy / Foreclosure Seasoning</t>
  </si>
  <si>
    <t>N/A - None</t>
  </si>
  <si>
    <t>S: Housing History &amp; PCEs</t>
  </si>
  <si>
    <t>Short Sale / Deed-in-Lieu / Modification Seasoning</t>
  </si>
  <si>
    <t>Forbearance/late in last 12mo AND tenant-occupied without timely 2-mo rent receipt?</t>
  </si>
  <si>
    <t>G §5.32 — STD-3.15; applies to guarantors per Q-20</t>
  </si>
  <si>
    <t>4. Property</t>
  </si>
  <si>
    <t>Property Type</t>
  </si>
  <si>
    <t>SFR</t>
  </si>
  <si>
    <t>S: Subject Property Type</t>
  </si>
  <si>
    <t>Florida Property?</t>
  </si>
  <si>
    <t>-5% CLTV adj. on Non-Warr. Condo / Condotel in FL, STD-8.1</t>
  </si>
  <si>
    <t>Vacant Property?</t>
  </si>
  <si>
    <t>G §3.41, §10.17 — refi only, STD-8.5-8.7</t>
  </si>
  <si>
    <t>Listed for Sale in Last 6 Months?</t>
  </si>
  <si>
    <t>G §11.5 — STD-8.8-8.9</t>
  </si>
  <si>
    <t>Short-Term Rental?</t>
  </si>
  <si>
    <t>STD-3.12-3.14</t>
  </si>
  <si>
    <t>Rural / Unique Property?</t>
  </si>
  <si>
    <t>S: Subject Property Location — STD-8.3</t>
  </si>
  <si>
    <t>Mixed Use / Adult Care / Assisted Living?</t>
  </si>
  <si>
    <t>G §10.7 — STD-8.10</t>
  </si>
  <si>
    <t>Declining Market?</t>
  </si>
  <si>
    <t>S: Subject Property Location — "-5% CLTV", STD-1.14</t>
  </si>
  <si>
    <t>5. DSCR / Income</t>
  </si>
  <si>
    <t>DSCR Method</t>
  </si>
  <si>
    <t>Calculated</t>
  </si>
  <si>
    <t>G §5.32-5.33 — STD-1.5, 3.19</t>
  </si>
  <si>
    <t>Annual In-Place Rent ($)</t>
  </si>
  <si>
    <t>STD-3.1</t>
  </si>
  <si>
    <t>Annual Market Rent per 1007/1025 ($)</t>
  </si>
  <si>
    <t>STD-3.1, 3.8</t>
  </si>
  <si>
    <t>Monthly Principal &amp; Interest ($)</t>
  </si>
  <si>
    <t>STD-3.1 PITIA</t>
  </si>
  <si>
    <t>Monthly Real Estate Taxes ($)</t>
  </si>
  <si>
    <t>Monthly Property Insurance ($)</t>
  </si>
  <si>
    <t>Monthly HOA / Association Dues ($)</t>
  </si>
  <si>
    <t>Monthly Subordinate Financing Payment ($, if any)</t>
  </si>
  <si>
    <t>STD-3.1 — included in DSCR denominator; permissibility per Q-18</t>
  </si>
  <si>
    <t>6. Product &amp; Structure</t>
  </si>
  <si>
    <t>Product Type</t>
  </si>
  <si>
    <t>30 Yr Fixed</t>
  </si>
  <si>
    <t>S: Product Requirements</t>
  </si>
  <si>
    <t>Escrow Waiver Requested?</t>
  </si>
  <si>
    <t>S: Escrow Waiver</t>
  </si>
  <si>
    <t>Gift Funds Used for Down Payment?</t>
  </si>
  <si>
    <t>S: Loan Amount / G §8.7 — min. 10% borrower own funds</t>
  </si>
  <si>
    <t>If Rent Loss Insurance Required, Is It Obtainable?</t>
  </si>
  <si>
    <t>Y</t>
  </si>
  <si>
    <t>G §23.40 — STD-8.11-8.14</t>
  </si>
  <si>
    <t>DSCR Loan Sizer</t>
  </si>
  <si>
    <t>All cells here are formulas driven by the Inputs tab. Do not type over black text.</t>
  </si>
  <si>
    <t>Computed Parameters</t>
  </si>
  <si>
    <t>Purpose Index (1=Purchase, 2=R&amp;T, 3=C/O)</t>
  </si>
  <si>
    <t>Loan Amount Tier</t>
  </si>
  <si>
    <t>STD-2.1</t>
  </si>
  <si>
    <t>Proposed CLTV (Loan Amount ÷ Value)</t>
  </si>
  <si>
    <t>Base Matrix Cap (Tier × FICO × Purpose)</t>
  </si>
  <si>
    <t>Annual PITIA (incl. subordinate financing pmt)</t>
  </si>
  <si>
    <t>Qualifying Rent = lesser of in-place / market rent</t>
  </si>
  <si>
    <t>STD-3.5; Acra may also use higher of actual/market — Q-01</t>
  </si>
  <si>
    <t>Calculated DSCR</t>
  </si>
  <si>
    <t>Maximum CLTV Cap Analysis  (every applicable cap; lowest one binds)</t>
  </si>
  <si>
    <t>Condition</t>
  </si>
  <si>
    <t>Applicable?</t>
  </si>
  <si>
    <t>Cap — Selected Purpose</t>
  </si>
  <si>
    <t>Citation</t>
  </si>
  <si>
    <t>Base Matrix (Loan Tier × FICO × Purpose)</t>
  </si>
  <si>
    <t>Loan Amount &lt; $200,000</t>
  </si>
  <si>
    <t>STD-2.5</t>
  </si>
  <si>
    <t>Property Type Cap (incl. FL -5% adj.)</t>
  </si>
  <si>
    <t>STD-8.1</t>
  </si>
  <si>
    <t>DSCR &lt; 1.0 or No Ratio DSCR</t>
  </si>
  <si>
    <t>STD-3.17</t>
  </si>
  <si>
    <t>Short-Term Rental</t>
  </si>
  <si>
    <t>STD-3.14</t>
  </si>
  <si>
    <t>Citizenship Cap (Non-Perm. Resident / Foreign National / ITIN)</t>
  </si>
  <si>
    <t>S: Borrower Citizenship; STD-4.3-4.5</t>
  </si>
  <si>
    <t>1-or-No Score / Deficient Tradelines</t>
  </si>
  <si>
    <t>STD-7.3</t>
  </si>
  <si>
    <t>Mortgage/Rental Housing History</t>
  </si>
  <si>
    <t>STD-7.9</t>
  </si>
  <si>
    <t>STD-7.10</t>
  </si>
  <si>
    <t>Short Sale / DIL / Modification Seasoning</t>
  </si>
  <si>
    <t>STD-7.11</t>
  </si>
  <si>
    <t>Rural / Unique Property</t>
  </si>
  <si>
    <t>STD-8.3</t>
  </si>
  <si>
    <t>First-Time Homebuyer</t>
  </si>
  <si>
    <t>STD-4.10 (flat 70% CLTV, no purpose split)</t>
  </si>
  <si>
    <t>Vacant Property — Rate &amp; Term Refinance</t>
  </si>
  <si>
    <t>STD-8.6 (&gt;$2M treatment unstated — flagged below)</t>
  </si>
  <si>
    <t>Vacant Property — Cash-Out Refinance</t>
  </si>
  <si>
    <t>STD-8.7 (≥$1.5M treatment unstated — Q-10, flagged below)</t>
  </si>
  <si>
    <t>Listed for Sale in Last 6 Months</t>
  </si>
  <si>
    <t>STD-8.9 (lesser of appraised value or lowest recent list price)</t>
  </si>
  <si>
    <t>Escrow Waiver Requested</t>
  </si>
  <si>
    <t>STD-7.12 (also requires FICO≥700, loan≤$1.5M — flagged below)</t>
  </si>
  <si>
    <t>Final Max CLTV — before Declining-Market adjustment</t>
  </si>
  <si>
    <t>Lowest cap above that is Applicable</t>
  </si>
  <si>
    <t>Declining Market Adjustment</t>
  </si>
  <si>
    <t>STD-1.14 — "-5% CLTV property/borrower full profile"; combination method per Q-07</t>
  </si>
  <si>
    <t>FINAL MAX CLTV</t>
  </si>
  <si>
    <t>Minimum DSCR Requirement  (highest applicable trigger governs)</t>
  </si>
  <si>
    <t>Trigger</t>
  </si>
  <si>
    <t>Min. DSCR</t>
  </si>
  <si>
    <t>Proposed/Final CLTV &gt; 80.00%</t>
  </si>
  <si>
    <t>S: Income Documentation; STD-3.16</t>
  </si>
  <si>
    <t>Loan Amount &gt; $2,000,000</t>
  </si>
  <si>
    <t>STD-2.6</t>
  </si>
  <si>
    <t>Non-Warrantable Condo or Condotel/PUDtel</t>
  </si>
  <si>
    <t>STD-4.10</t>
  </si>
  <si>
    <t>STD-8.6 (or 40% DTI alt. — Q-14)</t>
  </si>
  <si>
    <t>STD-8.7</t>
  </si>
  <si>
    <t>STD-8.9 (or 43% DTI alt. — Q-14)</t>
  </si>
  <si>
    <t>Mixed Use / Adult Care / Assisted Living</t>
  </si>
  <si>
    <t>STD-8.10</t>
  </si>
  <si>
    <t>MINIMUM DSCR REQUIRED</t>
  </si>
  <si>
    <t>0.00 if no trigger applies — no stated baseline absent a trigger (Q-07)</t>
  </si>
  <si>
    <t>Minimum FICO Requirement  (highest applicable trigger governs)</t>
  </si>
  <si>
    <t>Min. FICO</t>
  </si>
  <si>
    <t>Base Matrix Tier Minimum</t>
  </si>
  <si>
    <t>Interest-Only Product</t>
  </si>
  <si>
    <t>S: Loan Amount / Product Requirements</t>
  </si>
  <si>
    <t>ITIN Borrower</t>
  </si>
  <si>
    <t>STD-4.5</t>
  </si>
  <si>
    <t>Vacant Property Refinance (R/T or C/O)</t>
  </si>
  <si>
    <t>STD-8.6, 8.7</t>
  </si>
  <si>
    <t>STD-7.12</t>
  </si>
  <si>
    <t>MINIMUM FICO REQUIRED</t>
  </si>
  <si>
    <t>Reserve Requirement (months of PITIA)  (highest applicable trigger governs — Q-07 on whether cumulative)</t>
  </si>
  <si>
    <t>Months</t>
  </si>
  <si>
    <t>S: Income Documentation</t>
  </si>
  <si>
    <t>FICO &lt; 620</t>
  </si>
  <si>
    <t>STD-8.6</t>
  </si>
  <si>
    <t>STD-8.9</t>
  </si>
  <si>
    <t>Forbearance/Late (12mo) + Tenant, No Timely Rent Receipt</t>
  </si>
  <si>
    <t>STD-3.15</t>
  </si>
  <si>
    <t>Rent Loss Insurance Required but Not Obtainable</t>
  </si>
  <si>
    <t>STD-8.14 (2 months reserves per 1 month of 6-month coverage not provided)</t>
  </si>
  <si>
    <t>RESERVES REQUIRED (months of PITIA)</t>
  </si>
  <si>
    <t>Results Summary</t>
  </si>
  <si>
    <t>Test</t>
  </si>
  <si>
    <t>Result</t>
  </si>
  <si>
    <t>Detail</t>
  </si>
  <si>
    <t>Maximum Loan Amount (Final Max CLTV × Value, rounded to $50)</t>
  </si>
  <si>
    <t>CLTV Test: Proposed ≤ Final Max CLTV?</t>
  </si>
  <si>
    <t>DSCR Test: Calculated ≥ Minimum Required?</t>
  </si>
  <si>
    <t>FICO Test: Score ≥ Minimum Required?</t>
  </si>
  <si>
    <t>Loan Amount Range Test ($100,000–$3,000,000)</t>
  </si>
  <si>
    <t>Loan Amount Increment Test ($50 increments)</t>
  </si>
  <si>
    <t>State Eligibility Test</t>
  </si>
  <si>
    <t>Above-80% Property-Type Gate</t>
  </si>
  <si>
    <t>STD-3.16 — above 80% LTV only SFR/Warrantable Condo (non-FL)/Townhome/PUD eligible</t>
  </si>
  <si>
    <t>OVERALL ELIGIBILITY</t>
  </si>
  <si>
    <t>Flags &amp; Notes  (manual-review items the guidelines require but that aren't a simple numeric cap)</t>
  </si>
  <si>
    <t>Flag</t>
  </si>
  <si>
    <t>STD-10.5</t>
  </si>
  <si>
    <t>STD-7.12, 4.7</t>
  </si>
  <si>
    <t>STD-1.12, 9.1</t>
  </si>
  <si>
    <t>STD-6.1-6.13</t>
  </si>
  <si>
    <t>STD-5.1-5.12</t>
  </si>
  <si>
    <t>STD-8.6, Q-10</t>
  </si>
  <si>
    <t>STD-8.7, Q-10</t>
  </si>
  <si>
    <t>STD-4.3, Q-21</t>
  </si>
  <si>
    <t>STD-8.11-8.13</t>
  </si>
  <si>
    <t>STD-3.3, 10.7, Q-18</t>
  </si>
  <si>
    <t>STD-1.4, Q-06</t>
  </si>
  <si>
    <t>STD-11.1-11.3, Q-24</t>
  </si>
  <si>
    <t>Reference Tables</t>
  </si>
  <si>
    <t>Transcribed from the guidelines exactly as printed. The Sizer tab looks these up — edit only if Acra corrects a published figure.</t>
  </si>
  <si>
    <t>Table 1 — Matrix: Loan Amount ≤ $1,500,000 (STD-2.1)</t>
  </si>
  <si>
    <t>FICO Min</t>
  </si>
  <si>
    <t>Rate &amp; Term</t>
  </si>
  <si>
    <t>Cash-Out</t>
  </si>
  <si>
    <t>Table 2 — Matrix: Loan Amount $1,500,001–$2,000,000 (STD-2.1)</t>
  </si>
  <si>
    <t>Table 3 — Matrix: Loan Amount $2,000,001–$3,000,000 (STD-2.1)</t>
  </si>
  <si>
    <t>Table 4 — Property Type Caps (STD-8.1)</t>
  </si>
  <si>
    <t>Min DSCR</t>
  </si>
  <si>
    <t>FL -5% Adj?</t>
  </si>
  <si>
    <t>Townhome</t>
  </si>
  <si>
    <t>PUD</t>
  </si>
  <si>
    <t>Warrantable Condo</t>
  </si>
  <si>
    <t>Non-Warrantable Condo</t>
  </si>
  <si>
    <t>Condotel/PUDtel</t>
  </si>
  <si>
    <t>2-4 Unit</t>
  </si>
  <si>
    <t>Manufactured Home</t>
  </si>
  <si>
    <t>Table 5 — Citizenship Caps (S: Borrower Citizenship)</t>
  </si>
  <si>
    <t>Citizenship</t>
  </si>
  <si>
    <t>Max Loan Amt</t>
  </si>
  <si>
    <t>Note</t>
  </si>
  <si>
    <t>No additional cap</t>
  </si>
  <si>
    <t>Permanent Resident</t>
  </si>
  <si>
    <t>Unexpired PRA ID + SSA card/SSA-89</t>
  </si>
  <si>
    <t>Non-Permanent Resident</t>
  </si>
  <si>
    <t>"Max Loan Amount: $1.5M: Max CLTV 80%" — one limit or two, Q-21</t>
  </si>
  <si>
    <t>Foreign National</t>
  </si>
  <si>
    <t>Price at FICO 700; no max loan amount stated, Q-21</t>
  </si>
  <si>
    <t>ITIN</t>
  </si>
  <si>
    <t>See Table 6 for FICO-tiered CLTV</t>
  </si>
  <si>
    <t>Table 6 — ITIN Tiers by FICO (STD-4.5)</t>
  </si>
  <si>
    <t>Refi (R/T &amp; C/O)</t>
  </si>
  <si>
    <t>Table 7 — Mortgage/Rental History Caps (STD-7.9; labels undefined, Q-05)</t>
  </si>
  <si>
    <t>Label</t>
  </si>
  <si>
    <t>1x30x12</t>
  </si>
  <si>
    <t>0x60x12</t>
  </si>
  <si>
    <t>0x90x12</t>
  </si>
  <si>
    <t>0x120x12</t>
  </si>
  <si>
    <t>Table 8 — Bankruptcy / Foreclosure Seasoning Caps (STD-7.10)</t>
  </si>
  <si>
    <t>≥36 Mo (No Restriction)</t>
  </si>
  <si>
    <t>24-35 Mo</t>
  </si>
  <si>
    <t>12-23 Mo</t>
  </si>
  <si>
    <t>&lt;12 Mo</t>
  </si>
  <si>
    <t>Table 9 — Short Sale / DIL / Modification Seasoning Caps (STD-7.11)</t>
  </si>
  <si>
    <t>≥24 Mo (No Restriction)</t>
  </si>
  <si>
    <t>Table 10 — ARM Margins by FICO (STD-10.2) — informational only, not used in cap logic</t>
  </si>
  <si>
    <t>Margin</t>
  </si>
  <si>
    <t>Table 11 — State Prepayment Penalty Restrictions (S: Prepayment Penalty Restrictions) — informational, see Q-24 on "BUY-OUT"</t>
  </si>
  <si>
    <t>State</t>
  </si>
  <si>
    <t>Restriction (as printed)</t>
  </si>
  <si>
    <t>AK</t>
  </si>
  <si>
    <t>BUY-OUT all Residential 1-4</t>
  </si>
  <si>
    <t>IL</t>
  </si>
  <si>
    <t>1) BUY-OUT all Residential 1-4 if to an ENTITY OR INDIVIDUAL and loan amount is ≤$250,000  2) BUY-OUT all Residential 1-4 if to an INDIVIDUAL and loan amount is &gt;$250,000 and interest rate is &gt;8%</t>
  </si>
  <si>
    <t>KS</t>
  </si>
  <si>
    <t>MD</t>
  </si>
  <si>
    <t>BUY-OUT all loans</t>
  </si>
  <si>
    <t>MI</t>
  </si>
  <si>
    <t>MN</t>
  </si>
  <si>
    <t>MS</t>
  </si>
  <si>
    <t>BUY-OUT or 5 year (STEP) for all Residential 1 unit. No restrictions on 2+ units.</t>
  </si>
  <si>
    <t>NJ</t>
  </si>
  <si>
    <t>BUY-OUT all loans closing in name of an INDIVIDUAL</t>
  </si>
  <si>
    <t>NM</t>
  </si>
  <si>
    <t>OH</t>
  </si>
  <si>
    <t>BUY-OUT all Residential 1-2</t>
  </si>
  <si>
    <t>PA</t>
  </si>
  <si>
    <t>BUY-OUT if to an INDIVIDUAL AND on Residential 1-2 AND loan amount &lt;$319,777</t>
  </si>
  <si>
    <t>RI</t>
  </si>
  <si>
    <t>BUY-OUT if a PURCHASE transaction</t>
  </si>
  <si>
    <t>VA</t>
  </si>
  <si>
    <t>BUY-OUT all Residential 1-4 closed in the name of an individual</t>
  </si>
  <si>
    <t>VT</t>
  </si>
  <si>
    <t>BUY-OUT for loans &lt; $1 Million</t>
  </si>
  <si>
    <t>Assumptions &amp; Open Items</t>
  </si>
  <si>
    <t>Every Q-item from the guidelines that this sizer's logic had to take a position on. Confirm with Acra before final use.</t>
  </si>
  <si>
    <t>Q#</t>
  </si>
  <si>
    <t>Open item (Acra's own wording, abbreviated)</t>
  </si>
  <si>
    <t>Approach this sizer took</t>
  </si>
  <si>
    <t>Q-01</t>
  </si>
  <si>
    <t>Qualifying rent: lesser of in-place/market, vs. "Acra may use the higher of actual or market rents."</t>
  </si>
  <si>
    <t>Sizer uses the lesser-of formula (STD-3.5), the more conservative reading. It does not model the higher-of override.</t>
  </si>
  <si>
    <t>Q-02</t>
  </si>
  <si>
    <t>Short-term rental 12-month ledger — how it sets qualifying rent; whether STR caps apply to No Ratio.</t>
  </si>
  <si>
    <t>Not modeled numerically. STR flag applies the STD-3.14 CLTV/FICO caps regardless of DSCR method; ledger-to-rent conversion is manual.</t>
  </si>
  <si>
    <t>Q-05</t>
  </si>
  <si>
    <t>Housing-history labels (1x30x12 etc.) and BK/FC/short-sale seasoning start/end dates are undefined.</t>
  </si>
  <si>
    <t>Sizer takes the dropdown selection at face value and applies the printed cap; user must independently determine which bucket applies.</t>
  </si>
  <si>
    <t>Q-06</t>
  </si>
  <si>
    <t>Delayed financing: which matrix column and cash-in-hand rule apply.</t>
  </si>
  <si>
    <t>Sizer only flags that delayed financing is capped at $1.5MM; it does not reroute the calculation to a different column.</t>
  </si>
  <si>
    <t>Q-07</t>
  </si>
  <si>
    <t>How multiple CLTV caps, adjustments, and reserve triggers combine.</t>
  </si>
  <si>
    <t>Sizer takes the LOWEST applicable CLTV cap (MIN), the HIGHEST applicable DSCR/FICO/reserve trigger (MAX), and applies the declining-market -5% as a separate subtraction after the CLTV minimum. Reserve triggers are NOT summed/stacked — the largest single trigger governs.</t>
  </si>
  <si>
    <t>Q-09</t>
  </si>
  <si>
    <t>Entity guarantor homeownership requirement vs. first-time-homebuyer allowance.</t>
  </si>
  <si>
    <t>Both flags are shown independently (FTHB cap/DSCR/FICO applied; entity flag reminds user to confirm guarantor homeownership) — sizer does not resolve the conflict.</t>
  </si>
  <si>
    <t>Q-10</t>
  </si>
  <si>
    <t>Vacant refinance caps above $2M (R/T) or at/above $1.5M (C/O) are unstated.</t>
  </si>
  <si>
    <t>Sizer shows 9.99 (no numeric cap available) and raises an explicit flag requiring Acra confirmation.</t>
  </si>
  <si>
    <t>Q-13</t>
  </si>
  <si>
    <t>Whether No Ratio is available when another condition carries its own minimum DSCR.</t>
  </si>
  <si>
    <t>Sizer applies both: if No Ratio is selected, the DSCR test shows N/A, but any other minimum-DSCR trigger still displays for information.</t>
  </si>
  <si>
    <t>Q-14</t>
  </si>
  <si>
    <t>DTI alternatives (40%, 43%) to the stated minimum DSCR on vacant/listed-for-sale/FTHB loans.</t>
  </si>
  <si>
    <t>Not modeled — DTI is explicitly out of scope per the source document. Only the DSCR-based path is sized.</t>
  </si>
  <si>
    <t>Q-17</t>
  </si>
  <si>
    <t>Matrix labelled CLTV; footnotes and the above-80% rule use LTV.</t>
  </si>
  <si>
    <t>Sizer treats the single CLTV input as governing both tests, since no subordinate-lien LTV/CLTV split is captured.</t>
  </si>
  <si>
    <t>Q-18</t>
  </si>
  <si>
    <t>Whether/how subordinate financing is permitted.</t>
  </si>
  <si>
    <t>Sizer includes the subordinate-financing payment in the DSCR denominator per STD-3.1 and raises a flag if a payment is entered, but does not test permissibility.</t>
  </si>
  <si>
    <t>Q-19</t>
  </si>
  <si>
    <t>Which credit score governs (decisioning score) and how it's set for multiple guarantors.</t>
  </si>
  <si>
    <t>Sizer takes the FICO the user enters as the decisioning score; the user must apply Acra's own convention (e.g., middle of three, lowest of guarantors) before entry.</t>
  </si>
  <si>
    <t>Q-20</t>
  </si>
  <si>
    <t>Whether "Applicant" in the forbearance/lates rule includes entity guarantors.</t>
  </si>
  <si>
    <t>Sizer applies the trigger based on a single Y/N input regardless of borrower type; user should evaluate at the guarantor level for entity loans.</t>
  </si>
  <si>
    <t>Q-21</t>
  </si>
  <si>
    <t>Non-Permanent Resident $1.5M/80% — one limit or two; Foreign National max loan amount unstated.</t>
  </si>
  <si>
    <t>Sizer applies both the $1.5M and 80% figures as if independent, and flags any Non-Permanent Resident loan over $1.5M for confirmation. No separate loan-amount ceiling is applied to Foreign National.</t>
  </si>
  <si>
    <t>Q-24</t>
  </si>
  <si>
    <t>What "BUY-OUT" requires; whether state restrictions waive the vacant/listed-for-sale minimum PPP terms.</t>
  </si>
  <si>
    <t>Not automated. Table 11 in Reference Tables is shown for lookup only; sizer does not test prepayment eligibility.</t>
  </si>
  <si>
    <t>Q-27</t>
  </si>
  <si>
    <t>Whether every loan on this program is a business-purpose transaction (vs. consumer).</t>
  </si>
  <si>
    <t>Sizer assumes business-purpose throughout, consistent with the program's "Business Purpose DSCR" listing; consumer-transaction seasoning rules (STD-9.2) are not modeled.</t>
  </si>
  <si>
    <t>Items not modeled at all (documentation/process items, not numeric caps): entity/trust documentation (§3.12), foreign-national closing docs and AML/OFAC (§3.10), gift-fund documentation (§8.7 balance), DTI-program mechanics (§7.4-7.5), and every item listed in the source document's Appendix B (material referred to but not supplied to the JazzX Team).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</si>
</sst>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7">
    <font>
      <sz val="11"/>
      <color theme="1"/>
      <name val="Calibri"/>
      <scheme val="minor"/>
    </font>
    <font>
      <b/>
      <sz val="16"/>
      <color rgb="FFFFFFFF"/>
      <name val="Arial"/>
    </font>
    <font>
      <sz val="11"/>
      <name val="Calibri"/>
    </font>
    <font>
      <i/>
      <sz val="10"/>
      <color rgb="FFFFFFFF"/>
      <name val="Arial"/>
    </font>
    <font>
      <b/>
      <sz val="12"/>
      <color rgb="FFFFFFFF"/>
      <name val="Arial"/>
    </font>
    <font>
      <b/>
      <sz val="11"/>
      <color theme="1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0"/>
      <color rgb="FF0000FF"/>
      <name val="Arial"/>
    </font>
    <font>
      <i/>
      <sz val="8"/>
      <color rgb="FF808080"/>
      <name val="Arial"/>
    </font>
    <font>
      <sz val="11"/>
      <color theme="1"/>
      <name val="Calibri"/>
    </font>
    <font>
      <sz val="9"/>
      <color theme="1"/>
      <name val="Arial"/>
    </font>
    <font>
      <b/>
      <sz val="10"/>
      <color theme="1"/>
      <name val="Arial"/>
    </font>
    <font>
      <i/>
      <sz val="9"/>
      <color theme="1"/>
      <name val="Arial"/>
    </font>
    <font>
      <b/>
      <sz val="11"/>
      <color rgb="FF000000"/>
      <name val="Arial"/>
    </font>
    <font>
      <sz val="9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1F2A44"/>
      </patternFill>
    </fill>
    <fill>
      <patternFill patternType="solid">
        <fgColor rgb="FF5B4B8A"/>
        <bgColor rgb="FF5B4B8A"/>
      </patternFill>
    </fill>
    <fill>
      <patternFill patternType="solid">
        <fgColor rgb="FF7B6BA8"/>
        <bgColor rgb="FF7B6BA8"/>
      </patternFill>
    </fill>
    <fill>
      <patternFill patternType="solid">
        <fgColor rgb="FFFFFDE7"/>
        <bgColor rgb="FFFFFDE7"/>
      </patternFill>
    </fill>
    <fill>
      <patternFill patternType="solid">
        <fgColor rgb="FFE8F0FE"/>
        <bgColor rgb="FFE8F0F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0" xfId="0" applyFont="1"/>
    <xf numFmtId="0" fontId="6" fillId="0" borderId="0" xfId="0" applyFont="1"/>
    <xf numFmtId="0" fontId="7" fillId="4" borderId="2" xfId="0" applyFont="1" applyFill="1" applyBorder="1" applyAlignment="1">
      <alignment horizontal="center" vertical="center" wrapText="1"/>
    </xf>
    <xf numFmtId="0" fontId="8" fillId="0" borderId="2" xfId="0" applyFont="1" applyBorder="1"/>
    <xf numFmtId="9" fontId="6" fillId="0" borderId="2" xfId="0" applyNumberFormat="1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0" xfId="0" applyFont="1"/>
    <xf numFmtId="164" fontId="9" fillId="5" borderId="2" xfId="0" applyNumberFormat="1" applyFont="1" applyFill="1" applyBorder="1" applyAlignment="1">
      <alignment horizontal="center"/>
    </xf>
    <xf numFmtId="9" fontId="11" fillId="0" borderId="2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9" fontId="8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6" fillId="0" borderId="2" xfId="0" applyFont="1" applyBorder="1"/>
    <xf numFmtId="0" fontId="10" fillId="0" borderId="0" xfId="0" applyFont="1" applyAlignment="1">
      <alignment wrapText="1"/>
    </xf>
    <xf numFmtId="0" fontId="5" fillId="0" borderId="2" xfId="0" applyFont="1" applyBorder="1" applyAlignment="1">
      <alignment vertical="top"/>
    </xf>
    <xf numFmtId="0" fontId="12" fillId="0" borderId="2" xfId="0" applyFont="1" applyBorder="1" applyAlignment="1">
      <alignment vertical="top" wrapText="1"/>
    </xf>
    <xf numFmtId="10" fontId="13" fillId="0" borderId="2" xfId="0" applyNumberFormat="1" applyFont="1" applyBorder="1" applyAlignment="1">
      <alignment horizontal="center"/>
    </xf>
    <xf numFmtId="0" fontId="15" fillId="0" borderId="0" xfId="0" applyFont="1"/>
    <xf numFmtId="10" fontId="13" fillId="6" borderId="2" xfId="0" applyNumberFormat="1" applyFont="1" applyFill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13" fillId="6" borderId="2" xfId="0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13" fillId="6" borderId="2" xfId="0" applyNumberFormat="1" applyFont="1" applyFill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0" fontId="13" fillId="6" borderId="2" xfId="0" applyFont="1" applyFill="1" applyBorder="1"/>
    <xf numFmtId="0" fontId="7" fillId="4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4" fillId="0" borderId="0" xfId="0" applyFont="1" applyAlignment="1">
      <alignment wrapText="1"/>
    </xf>
    <xf numFmtId="0" fontId="1" fillId="2" borderId="1" xfId="0" applyFont="1" applyFill="1" applyBorder="1" applyAlignment="1"/>
    <xf numFmtId="0" fontId="2" fillId="0" borderId="1" xfId="0" applyFont="1" applyBorder="1" applyAlignment="1"/>
    <xf numFmtId="0" fontId="3" fillId="2" borderId="1" xfId="0" applyFont="1" applyFill="1" applyBorder="1" applyAlignment="1"/>
    <xf numFmtId="0" fontId="4" fillId="3" borderId="1" xfId="0" applyFont="1" applyFill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0" fillId="0" borderId="0" xfId="0" applyAlignment="1"/>
  </cellXfs>
  <cellStyles count="1">
    <cellStyle name="Normal" xfId="0" builtinId="0"/>
  </cellStyles>
  <dxfs count="30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showGridLines="0" tabSelected="1" workbookViewId="0"/>
  </sheetViews>
  <sheetFormatPr defaultColWidth="14.42578125" defaultRowHeight="15" customHeight="1"/>
  <cols>
    <col min="1" max="1" width="3" customWidth="1"/>
    <col min="2" max="2" width="100" customWidth="1"/>
    <col min="3" max="26" width="8.7109375" customWidth="1"/>
  </cols>
  <sheetData>
    <row r="1" spans="1:2" ht="25.5" customHeight="1">
      <c r="A1" s="35" t="s">
        <v>0</v>
      </c>
      <c r="B1" s="36"/>
    </row>
    <row r="2" spans="1:2" ht="15.75" customHeight="1">
      <c r="A2" s="37" t="s">
        <v>1</v>
      </c>
      <c r="B2" s="36"/>
    </row>
    <row r="4" spans="1:2" ht="18" customHeight="1">
      <c r="A4" s="38" t="s">
        <v>2</v>
      </c>
      <c r="B4" s="36"/>
    </row>
    <row r="5" spans="1:2">
      <c r="B5" s="2" t="s">
        <v>3</v>
      </c>
    </row>
    <row r="6" spans="1:2">
      <c r="B6" s="2" t="s">
        <v>4</v>
      </c>
    </row>
    <row r="7" spans="1:2">
      <c r="B7" s="2" t="s">
        <v>5</v>
      </c>
    </row>
    <row r="8" spans="1:2">
      <c r="B8" s="2" t="s">
        <v>6</v>
      </c>
    </row>
    <row r="9" spans="1:2">
      <c r="B9" s="2"/>
    </row>
    <row r="10" spans="1:2">
      <c r="B10" s="2" t="s">
        <v>7</v>
      </c>
    </row>
    <row r="11" spans="1:2">
      <c r="B11" s="2" t="s">
        <v>8</v>
      </c>
    </row>
    <row r="12" spans="1:2">
      <c r="B12" s="2" t="s">
        <v>9</v>
      </c>
    </row>
    <row r="13" spans="1:2">
      <c r="B13" s="2" t="s">
        <v>10</v>
      </c>
    </row>
    <row r="14" spans="1:2">
      <c r="B14" s="2" t="s">
        <v>11</v>
      </c>
    </row>
    <row r="15" spans="1:2">
      <c r="B15" s="2" t="s">
        <v>12</v>
      </c>
    </row>
    <row r="17" spans="1:2" ht="18" customHeight="1">
      <c r="A17" s="38" t="s">
        <v>13</v>
      </c>
      <c r="B17" s="36"/>
    </row>
    <row r="18" spans="1:2">
      <c r="B18" s="2" t="s">
        <v>14</v>
      </c>
    </row>
    <row r="19" spans="1:2">
      <c r="B19" s="2" t="s">
        <v>15</v>
      </c>
    </row>
    <row r="20" spans="1:2">
      <c r="B20" s="2" t="s">
        <v>16</v>
      </c>
    </row>
    <row r="21" spans="1:2" ht="15.75" customHeight="1">
      <c r="B21" s="2" t="s">
        <v>17</v>
      </c>
    </row>
    <row r="22" spans="1:2" ht="15.75" customHeight="1">
      <c r="B22" s="2" t="s">
        <v>18</v>
      </c>
    </row>
    <row r="23" spans="1:2" ht="15.75" customHeight="1">
      <c r="B23" s="2" t="s">
        <v>19</v>
      </c>
    </row>
    <row r="24" spans="1:2" ht="15.75" customHeight="1">
      <c r="B24" s="2" t="s">
        <v>20</v>
      </c>
    </row>
    <row r="25" spans="1:2" ht="15.75" customHeight="1">
      <c r="B25" s="2" t="s">
        <v>21</v>
      </c>
    </row>
    <row r="26" spans="1:2" ht="15.75" customHeight="1">
      <c r="B26" s="2" t="s">
        <v>22</v>
      </c>
    </row>
    <row r="27" spans="1:2" ht="15.75" customHeight="1">
      <c r="B27" s="2" t="s">
        <v>23</v>
      </c>
    </row>
    <row r="28" spans="1:2" ht="15.75" customHeight="1">
      <c r="B28" s="2" t="s">
        <v>24</v>
      </c>
    </row>
    <row r="29" spans="1:2" ht="15.75" customHeight="1">
      <c r="B29" s="2" t="s">
        <v>25</v>
      </c>
    </row>
    <row r="30" spans="1:2" ht="15.75" customHeight="1"/>
    <row r="31" spans="1:2" ht="18" customHeight="1">
      <c r="A31" s="38" t="s">
        <v>26</v>
      </c>
      <c r="B31" s="36"/>
    </row>
    <row r="32" spans="1:2" ht="15.75" customHeight="1">
      <c r="B32" s="2" t="s">
        <v>27</v>
      </c>
    </row>
    <row r="33" spans="1:2" ht="15.75" customHeight="1">
      <c r="B33" s="2" t="s">
        <v>28</v>
      </c>
    </row>
    <row r="34" spans="1:2" ht="15.75" customHeight="1">
      <c r="B34" s="2" t="s">
        <v>29</v>
      </c>
    </row>
    <row r="35" spans="1:2" ht="15.75" customHeight="1">
      <c r="B35" s="2" t="s">
        <v>30</v>
      </c>
    </row>
    <row r="36" spans="1:2" ht="15.75" customHeight="1">
      <c r="B36" s="2" t="s">
        <v>31</v>
      </c>
    </row>
    <row r="37" spans="1:2" ht="15.75" customHeight="1"/>
    <row r="38" spans="1:2" ht="18" customHeight="1">
      <c r="A38" s="38" t="s">
        <v>32</v>
      </c>
      <c r="B38" s="36"/>
    </row>
    <row r="39" spans="1:2" ht="15.75" customHeight="1">
      <c r="B39" s="2" t="s">
        <v>33</v>
      </c>
    </row>
    <row r="40" spans="1:2" ht="15.75" customHeight="1">
      <c r="B40" s="2" t="s">
        <v>34</v>
      </c>
    </row>
    <row r="41" spans="1:2" ht="15.75" customHeight="1">
      <c r="B41" s="2" t="s">
        <v>35</v>
      </c>
    </row>
    <row r="42" spans="1:2" ht="15.75" customHeight="1">
      <c r="B42" s="2" t="s">
        <v>36</v>
      </c>
    </row>
    <row r="43" spans="1:2" ht="15.75" customHeight="1">
      <c r="B43" s="2" t="s">
        <v>37</v>
      </c>
    </row>
    <row r="44" spans="1:2" ht="15.75" customHeight="1">
      <c r="B44" s="2" t="s">
        <v>38</v>
      </c>
    </row>
    <row r="45" spans="1:2" ht="15.75" customHeight="1">
      <c r="B45" s="2" t="s">
        <v>39</v>
      </c>
    </row>
    <row r="46" spans="1:2" ht="15.75" customHeight="1">
      <c r="B46" s="2" t="s">
        <v>40</v>
      </c>
    </row>
    <row r="47" spans="1:2" ht="15.75" customHeight="1">
      <c r="B47" s="2" t="s">
        <v>41</v>
      </c>
    </row>
    <row r="48" spans="1:2" ht="15.75" customHeight="1">
      <c r="B48" s="2" t="s">
        <v>42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8:B38"/>
    <mergeCell ref="A1:B1"/>
    <mergeCell ref="A2:B2"/>
    <mergeCell ref="A4:B4"/>
    <mergeCell ref="A17:B17"/>
    <mergeCell ref="A31:B3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3" customWidth="1"/>
    <col min="2" max="2" width="42" customWidth="1"/>
    <col min="3" max="3" width="22" customWidth="1"/>
    <col min="4" max="4" width="55" customWidth="1"/>
    <col min="5" max="26" width="8.7109375" customWidth="1"/>
  </cols>
  <sheetData>
    <row r="1" spans="1:4" ht="25.5" customHeight="1">
      <c r="A1" s="35" t="s">
        <v>43</v>
      </c>
      <c r="B1" s="36"/>
      <c r="C1" s="36"/>
      <c r="D1" s="36"/>
    </row>
    <row r="2" spans="1:4" ht="15.75" customHeight="1">
      <c r="A2" s="37" t="s">
        <v>44</v>
      </c>
      <c r="B2" s="36"/>
      <c r="C2" s="36"/>
      <c r="D2" s="36"/>
    </row>
    <row r="4" spans="1:4" ht="18" customHeight="1">
      <c r="A4" s="38" t="s">
        <v>45</v>
      </c>
      <c r="B4" s="36"/>
      <c r="C4" s="36"/>
      <c r="D4" s="36"/>
    </row>
    <row r="5" spans="1:4">
      <c r="B5" s="2" t="s">
        <v>46</v>
      </c>
      <c r="C5" s="6" t="s">
        <v>47</v>
      </c>
      <c r="D5" s="8" t="s">
        <v>48</v>
      </c>
    </row>
    <row r="6" spans="1:4">
      <c r="B6" s="2" t="s">
        <v>49</v>
      </c>
      <c r="C6" s="9">
        <v>900000</v>
      </c>
      <c r="D6" s="8" t="s">
        <v>50</v>
      </c>
    </row>
    <row r="7" spans="1:4">
      <c r="B7" s="2" t="s">
        <v>51</v>
      </c>
      <c r="C7" s="9">
        <v>700000</v>
      </c>
      <c r="D7" s="8" t="s">
        <v>52</v>
      </c>
    </row>
    <row r="8" spans="1:4">
      <c r="B8" s="2" t="s">
        <v>53</v>
      </c>
      <c r="C8" s="6" t="s">
        <v>54</v>
      </c>
      <c r="D8" s="8" t="s">
        <v>55</v>
      </c>
    </row>
    <row r="9" spans="1:4">
      <c r="B9" s="2" t="s">
        <v>56</v>
      </c>
      <c r="C9" s="6" t="s">
        <v>57</v>
      </c>
      <c r="D9" s="8" t="s">
        <v>58</v>
      </c>
    </row>
    <row r="11" spans="1:4" ht="18" customHeight="1">
      <c r="A11" s="38" t="s">
        <v>59</v>
      </c>
      <c r="B11" s="36"/>
      <c r="C11" s="36"/>
      <c r="D11" s="36"/>
    </row>
    <row r="12" spans="1:4">
      <c r="B12" s="2" t="s">
        <v>60</v>
      </c>
      <c r="C12" s="6" t="s">
        <v>61</v>
      </c>
      <c r="D12" s="8" t="s">
        <v>62</v>
      </c>
    </row>
    <row r="13" spans="1:4">
      <c r="B13" s="2" t="s">
        <v>63</v>
      </c>
      <c r="C13" s="6" t="s">
        <v>57</v>
      </c>
      <c r="D13" s="8" t="s">
        <v>64</v>
      </c>
    </row>
    <row r="14" spans="1:4">
      <c r="B14" s="2" t="s">
        <v>65</v>
      </c>
      <c r="C14" s="6" t="s">
        <v>57</v>
      </c>
      <c r="D14" s="8" t="s">
        <v>66</v>
      </c>
    </row>
    <row r="15" spans="1:4">
      <c r="B15" s="2" t="s">
        <v>67</v>
      </c>
      <c r="C15" s="6">
        <v>720</v>
      </c>
      <c r="D15" s="8" t="s">
        <v>68</v>
      </c>
    </row>
    <row r="16" spans="1:4">
      <c r="B16" s="2" t="s">
        <v>69</v>
      </c>
      <c r="C16" s="6" t="s">
        <v>70</v>
      </c>
      <c r="D16" s="8" t="s">
        <v>71</v>
      </c>
    </row>
    <row r="17" spans="1:4">
      <c r="B17" s="2" t="s">
        <v>72</v>
      </c>
      <c r="C17" s="6" t="s">
        <v>73</v>
      </c>
      <c r="D17" s="8" t="s">
        <v>74</v>
      </c>
    </row>
    <row r="19" spans="1:4" ht="18" customHeight="1">
      <c r="A19" s="38" t="s">
        <v>75</v>
      </c>
      <c r="B19" s="36"/>
      <c r="C19" s="36"/>
      <c r="D19" s="36"/>
    </row>
    <row r="20" spans="1:4">
      <c r="B20" s="2" t="s">
        <v>76</v>
      </c>
      <c r="C20" s="6" t="s">
        <v>77</v>
      </c>
      <c r="D20" s="8" t="s">
        <v>78</v>
      </c>
    </row>
    <row r="21" spans="1:4" ht="15.75" customHeight="1">
      <c r="B21" s="2" t="s">
        <v>79</v>
      </c>
      <c r="C21" s="6" t="s">
        <v>80</v>
      </c>
      <c r="D21" s="8" t="s">
        <v>81</v>
      </c>
    </row>
    <row r="22" spans="1:4" ht="15.75" customHeight="1">
      <c r="B22" s="2" t="s">
        <v>82</v>
      </c>
      <c r="C22" s="6" t="s">
        <v>80</v>
      </c>
      <c r="D22" s="8" t="s">
        <v>81</v>
      </c>
    </row>
    <row r="23" spans="1:4" ht="15.75" customHeight="1">
      <c r="B23" s="2" t="s">
        <v>83</v>
      </c>
      <c r="C23" s="6" t="s">
        <v>57</v>
      </c>
      <c r="D23" s="8" t="s">
        <v>84</v>
      </c>
    </row>
    <row r="24" spans="1:4" ht="15.75" customHeight="1"/>
    <row r="25" spans="1:4" ht="18" customHeight="1">
      <c r="A25" s="38" t="s">
        <v>85</v>
      </c>
      <c r="B25" s="36"/>
      <c r="C25" s="36"/>
      <c r="D25" s="36"/>
    </row>
    <row r="26" spans="1:4" ht="15.75" customHeight="1">
      <c r="B26" s="2" t="s">
        <v>86</v>
      </c>
      <c r="C26" s="6" t="s">
        <v>87</v>
      </c>
      <c r="D26" s="8" t="s">
        <v>88</v>
      </c>
    </row>
    <row r="27" spans="1:4" ht="15.75" customHeight="1">
      <c r="B27" s="2" t="s">
        <v>89</v>
      </c>
      <c r="C27" s="6" t="s">
        <v>57</v>
      </c>
      <c r="D27" s="8" t="s">
        <v>90</v>
      </c>
    </row>
    <row r="28" spans="1:4" ht="15.75" customHeight="1">
      <c r="B28" s="2" t="s">
        <v>91</v>
      </c>
      <c r="C28" s="6" t="s">
        <v>57</v>
      </c>
      <c r="D28" s="8" t="s">
        <v>92</v>
      </c>
    </row>
    <row r="29" spans="1:4" ht="15.75" customHeight="1">
      <c r="B29" s="2" t="s">
        <v>93</v>
      </c>
      <c r="C29" s="6" t="s">
        <v>57</v>
      </c>
      <c r="D29" s="8" t="s">
        <v>94</v>
      </c>
    </row>
    <row r="30" spans="1:4" ht="15.75" customHeight="1">
      <c r="B30" s="2" t="s">
        <v>95</v>
      </c>
      <c r="C30" s="6" t="s">
        <v>57</v>
      </c>
      <c r="D30" s="8" t="s">
        <v>96</v>
      </c>
    </row>
    <row r="31" spans="1:4" ht="15.75" customHeight="1">
      <c r="B31" s="2" t="s">
        <v>97</v>
      </c>
      <c r="C31" s="6" t="s">
        <v>57</v>
      </c>
      <c r="D31" s="8" t="s">
        <v>98</v>
      </c>
    </row>
    <row r="32" spans="1:4" ht="15.75" customHeight="1">
      <c r="B32" s="2" t="s">
        <v>99</v>
      </c>
      <c r="C32" s="6" t="s">
        <v>57</v>
      </c>
      <c r="D32" s="8" t="s">
        <v>100</v>
      </c>
    </row>
    <row r="33" spans="1:4" ht="15.75" customHeight="1">
      <c r="B33" s="2" t="s">
        <v>101</v>
      </c>
      <c r="C33" s="6" t="s">
        <v>57</v>
      </c>
      <c r="D33" s="8" t="s">
        <v>102</v>
      </c>
    </row>
    <row r="34" spans="1:4" ht="15.75" customHeight="1"/>
    <row r="35" spans="1:4" ht="18" customHeight="1">
      <c r="A35" s="38" t="s">
        <v>103</v>
      </c>
      <c r="B35" s="36"/>
      <c r="C35" s="36"/>
      <c r="D35" s="36"/>
    </row>
    <row r="36" spans="1:4" ht="15.75" customHeight="1">
      <c r="B36" s="2" t="s">
        <v>104</v>
      </c>
      <c r="C36" s="6" t="s">
        <v>105</v>
      </c>
      <c r="D36" s="8" t="s">
        <v>106</v>
      </c>
    </row>
    <row r="37" spans="1:4" ht="15.75" customHeight="1">
      <c r="B37" s="2" t="s">
        <v>107</v>
      </c>
      <c r="C37" s="9">
        <v>60000</v>
      </c>
      <c r="D37" s="8" t="s">
        <v>108</v>
      </c>
    </row>
    <row r="38" spans="1:4" ht="15.75" customHeight="1">
      <c r="B38" s="2" t="s">
        <v>109</v>
      </c>
      <c r="C38" s="9">
        <v>58000</v>
      </c>
      <c r="D38" s="8" t="s">
        <v>110</v>
      </c>
    </row>
    <row r="39" spans="1:4" ht="15.75" customHeight="1">
      <c r="B39" s="2" t="s">
        <v>111</v>
      </c>
      <c r="C39" s="9">
        <v>3200</v>
      </c>
      <c r="D39" s="8" t="s">
        <v>112</v>
      </c>
    </row>
    <row r="40" spans="1:4" ht="15.75" customHeight="1">
      <c r="B40" s="2" t="s">
        <v>113</v>
      </c>
      <c r="C40" s="9">
        <v>450</v>
      </c>
      <c r="D40" s="8" t="s">
        <v>112</v>
      </c>
    </row>
    <row r="41" spans="1:4" ht="15.75" customHeight="1">
      <c r="B41" s="2" t="s">
        <v>114</v>
      </c>
      <c r="C41" s="9">
        <v>150</v>
      </c>
      <c r="D41" s="8" t="s">
        <v>112</v>
      </c>
    </row>
    <row r="42" spans="1:4" ht="15.75" customHeight="1">
      <c r="B42" s="2" t="s">
        <v>115</v>
      </c>
      <c r="C42" s="9">
        <v>0</v>
      </c>
      <c r="D42" s="8" t="s">
        <v>112</v>
      </c>
    </row>
    <row r="43" spans="1:4" ht="15.75" customHeight="1">
      <c r="B43" s="2" t="s">
        <v>116</v>
      </c>
      <c r="C43" s="9">
        <v>0</v>
      </c>
      <c r="D43" s="8" t="s">
        <v>117</v>
      </c>
    </row>
    <row r="44" spans="1:4" ht="15.75" customHeight="1"/>
    <row r="45" spans="1:4" ht="18" customHeight="1">
      <c r="A45" s="38" t="s">
        <v>118</v>
      </c>
      <c r="B45" s="36"/>
      <c r="C45" s="36"/>
      <c r="D45" s="36"/>
    </row>
    <row r="46" spans="1:4" ht="15.75" customHeight="1">
      <c r="B46" s="2" t="s">
        <v>119</v>
      </c>
      <c r="C46" s="6" t="s">
        <v>120</v>
      </c>
      <c r="D46" s="8" t="s">
        <v>121</v>
      </c>
    </row>
    <row r="47" spans="1:4" ht="15.75" customHeight="1">
      <c r="B47" s="2" t="s">
        <v>122</v>
      </c>
      <c r="C47" s="6" t="s">
        <v>57</v>
      </c>
      <c r="D47" s="8" t="s">
        <v>123</v>
      </c>
    </row>
    <row r="48" spans="1:4" ht="15.75" customHeight="1">
      <c r="B48" s="2" t="s">
        <v>124</v>
      </c>
      <c r="C48" s="6" t="s">
        <v>57</v>
      </c>
      <c r="D48" s="8" t="s">
        <v>125</v>
      </c>
    </row>
    <row r="49" spans="2:4" ht="15.75" customHeight="1">
      <c r="B49" s="2" t="s">
        <v>126</v>
      </c>
      <c r="C49" s="6" t="s">
        <v>127</v>
      </c>
      <c r="D49" s="8" t="s">
        <v>128</v>
      </c>
    </row>
    <row r="50" spans="2:4" ht="15.75" customHeight="1"/>
    <row r="51" spans="2:4" ht="15.75" customHeight="1"/>
    <row r="52" spans="2:4" ht="15.75" customHeight="1"/>
    <row r="53" spans="2:4" ht="15.75" customHeight="1"/>
    <row r="54" spans="2:4" ht="15.75" customHeight="1"/>
    <row r="55" spans="2:4" ht="15.75" customHeight="1"/>
    <row r="56" spans="2:4" ht="15.75" customHeight="1"/>
    <row r="57" spans="2:4" ht="15.75" customHeight="1"/>
    <row r="58" spans="2:4" ht="15.75" customHeight="1"/>
    <row r="59" spans="2:4" ht="15.75" customHeight="1"/>
    <row r="60" spans="2:4" ht="15.75" customHeight="1"/>
    <row r="61" spans="2:4" ht="15.75" customHeight="1"/>
    <row r="62" spans="2:4" ht="15.75" customHeight="1"/>
    <row r="63" spans="2:4" ht="15.75" customHeight="1"/>
    <row r="64" spans="2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5:D25"/>
    <mergeCell ref="A35:D35"/>
    <mergeCell ref="A45:D45"/>
    <mergeCell ref="A1:D1"/>
    <mergeCell ref="A2:D2"/>
    <mergeCell ref="A4:D4"/>
    <mergeCell ref="A11:D11"/>
    <mergeCell ref="A19:D19"/>
  </mergeCells>
  <dataValidations count="11">
    <dataValidation type="list" allowBlank="1" sqref="C9 C13:C14 C17 C23 C27:C33 C47:C48" xr:uid="{00000000-0002-0000-0100-000000000000}">
      <formula1>"Y,N"</formula1>
    </dataValidation>
    <dataValidation type="list" allowBlank="1" sqref="C20" xr:uid="{00000000-0002-0000-0100-000001000000}">
      <formula1>"Clean / No Restriction,1x30x12,0x60x12,0x90x12,0x120x12"</formula1>
    </dataValidation>
    <dataValidation type="list" allowBlank="1" sqref="C26" xr:uid="{00000000-0002-0000-0100-000002000000}">
      <formula1>"SFR,Townhome,PUD,Warrantable Condo,Non-Warrantable Condo,Condotel/PUDtel,2-4 Unit,Manufactured Home"</formula1>
    </dataValidation>
    <dataValidation type="list" allowBlank="1" sqref="C46" xr:uid="{00000000-0002-0000-0100-000003000000}">
      <formula1>"30 Yr Fixed,5/1 ARM,7/1 ARM,IO 5Yr/30Yr (ARM),IO 5Yr/30Yr Fixed,IO 10Yr/40Yr"</formula1>
    </dataValidation>
    <dataValidation type="list" allowBlank="1" sqref="C5" xr:uid="{00000000-0002-0000-0100-000004000000}">
      <formula1>"Purchase,Rate &amp; Term Refinance,Cash-Out Refinance"</formula1>
    </dataValidation>
    <dataValidation type="list" allowBlank="1" sqref="C36" xr:uid="{00000000-0002-0000-0100-000005000000}">
      <formula1>"Calculated,No Ratio"</formula1>
    </dataValidation>
    <dataValidation type="list" allowBlank="1" sqref="C16" xr:uid="{00000000-0002-0000-0100-000006000000}">
      <formula1>"3,2,1,0"</formula1>
    </dataValidation>
    <dataValidation type="list" allowBlank="1" sqref="C12" xr:uid="{00000000-0002-0000-0100-000007000000}">
      <formula1>"US Citizen,Permanent Resident,Non-Permanent Resident,Foreign National,ITIN"</formula1>
    </dataValidation>
    <dataValidation type="list" allowBlank="1" sqref="C49" xr:uid="{00000000-0002-0000-0100-000008000000}">
      <formula1>"Y,N,N/A"</formula1>
    </dataValidation>
    <dataValidation type="list" allowBlank="1" sqref="C21" xr:uid="{00000000-0002-0000-0100-000009000000}">
      <formula1>"N/A - None,≥36 Mo (No Restriction),24-35 Mo,12-23 Mo,&lt;12 Mo"</formula1>
    </dataValidation>
    <dataValidation type="list" allowBlank="1" sqref="C22" xr:uid="{00000000-0002-0000-0100-00000A000000}">
      <formula1>"N/A - None,≥24 Mo (No Restriction),12-23 Mo,&lt;12 Mo"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3" customWidth="1"/>
    <col min="2" max="2" width="44" customWidth="1"/>
    <col min="3" max="3" width="12" customWidth="1"/>
    <col min="4" max="4" width="14" customWidth="1"/>
    <col min="5" max="5" width="55" customWidth="1"/>
    <col min="6" max="26" width="8.7109375" customWidth="1"/>
  </cols>
  <sheetData>
    <row r="1" spans="1:5" ht="25.5" customHeight="1">
      <c r="A1" s="35" t="s">
        <v>129</v>
      </c>
      <c r="B1" s="36"/>
      <c r="C1" s="36"/>
      <c r="D1" s="36"/>
      <c r="E1" s="36"/>
    </row>
    <row r="2" spans="1:5" ht="15.75" customHeight="1">
      <c r="A2" s="37" t="s">
        <v>130</v>
      </c>
      <c r="B2" s="36"/>
      <c r="C2" s="36"/>
      <c r="D2" s="36"/>
      <c r="E2" s="36"/>
    </row>
    <row r="4" spans="1:5" ht="18" customHeight="1">
      <c r="A4" s="38" t="s">
        <v>131</v>
      </c>
      <c r="B4" s="36"/>
      <c r="C4" s="36"/>
      <c r="D4" s="36"/>
      <c r="E4" s="36"/>
    </row>
    <row r="5" spans="1:5">
      <c r="B5" s="2" t="s">
        <v>46</v>
      </c>
      <c r="C5" s="7" t="str">
        <f>Inputs!$C$5</f>
        <v>Purchase</v>
      </c>
    </row>
    <row r="6" spans="1:5">
      <c r="B6" s="2" t="s">
        <v>132</v>
      </c>
      <c r="C6" s="7">
        <f>IF(Inputs!$C$5="Purchase",1,IF(Inputs!$C$5="Rate &amp; Term Refinance",2,IF(Inputs!$C$5="Cash-Out Refinance",3,"")))</f>
        <v>1</v>
      </c>
    </row>
    <row r="7" spans="1:5">
      <c r="B7" s="2" t="s">
        <v>133</v>
      </c>
      <c r="C7" s="7">
        <f>IF(Inputs!$C$6&lt;=1500000,1,IF(Inputs!$C$6&lt;=2000000,2,IF(Inputs!$C$6&lt;=3000000,3,4)))</f>
        <v>1</v>
      </c>
      <c r="E7" s="8" t="s">
        <v>134</v>
      </c>
    </row>
    <row r="8" spans="1:5">
      <c r="B8" s="2" t="s">
        <v>135</v>
      </c>
      <c r="C8" s="12">
        <f>Inputs!$C$6/Inputs!$C$7</f>
        <v>1.2857142857142858</v>
      </c>
    </row>
    <row r="9" spans="1:5">
      <c r="B9" s="2" t="s">
        <v>136</v>
      </c>
      <c r="C9" s="15">
        <f t="array" ref="C9">IF($C$7=1,INDEX('Reference Tables'!$B$6:$E$15,MATCH(Inputs!$C$15,INDEX('Reference Tables'!$B$6:$E$15,0,1),1),1+$C$6),IF($C$7=2,INDEX('Reference Tables'!$B$19:$E$28,MATCH(Inputs!$C$15,INDEX('Reference Tables'!$B$19:$E$28,0,1),1),1+$C$6),IF($C$7=3,INDEX('Reference Tables'!$B$32:$E$37,MATCH(Inputs!$C$15,INDEX('Reference Tables'!$B$32:$E$37,0,1),1),1+$C$6),0)))</f>
        <v>0.85</v>
      </c>
      <c r="E9" s="8" t="s">
        <v>134</v>
      </c>
    </row>
    <row r="10" spans="1:5">
      <c r="B10" s="2" t="s">
        <v>137</v>
      </c>
      <c r="C10" s="16">
        <f>(Inputs!$C$39+Inputs!$C$40+Inputs!$C$41+Inputs!$C$42+Inputs!$C$43)*12</f>
        <v>45600</v>
      </c>
      <c r="E10" s="8" t="s">
        <v>108</v>
      </c>
    </row>
    <row r="11" spans="1:5">
      <c r="B11" s="2" t="s">
        <v>138</v>
      </c>
      <c r="C11" s="16">
        <f>MIN(Inputs!$C$37,Inputs!$C$38)</f>
        <v>58000</v>
      </c>
      <c r="E11" s="8" t="s">
        <v>139</v>
      </c>
    </row>
    <row r="12" spans="1:5">
      <c r="B12" s="2" t="s">
        <v>140</v>
      </c>
      <c r="C12" s="17">
        <f>IF(Inputs!$C$36="No Ratio","N/A - No Ratio",$C$11/$C$10)</f>
        <v>1.2719298245614035</v>
      </c>
      <c r="E12" s="8" t="s">
        <v>108</v>
      </c>
    </row>
    <row r="14" spans="1:5" ht="18" customHeight="1">
      <c r="A14" s="38" t="s">
        <v>141</v>
      </c>
      <c r="B14" s="36"/>
      <c r="C14" s="36"/>
      <c r="D14" s="36"/>
      <c r="E14" s="36"/>
    </row>
    <row r="15" spans="1:5">
      <c r="B15" s="3" t="s">
        <v>142</v>
      </c>
      <c r="C15" s="3" t="s">
        <v>143</v>
      </c>
      <c r="D15" s="3" t="s">
        <v>144</v>
      </c>
      <c r="E15" s="3" t="s">
        <v>145</v>
      </c>
    </row>
    <row r="16" spans="1:5">
      <c r="B16" s="18" t="s">
        <v>146</v>
      </c>
      <c r="C16" s="7" t="str">
        <f>"Y"</f>
        <v>Y</v>
      </c>
      <c r="D16" s="12">
        <f>IF($C16="Y",$C$9,9.99)</f>
        <v>0.85</v>
      </c>
      <c r="E16" s="19" t="s">
        <v>134</v>
      </c>
    </row>
    <row r="17" spans="2:5">
      <c r="B17" s="18" t="s">
        <v>147</v>
      </c>
      <c r="C17" s="7" t="str">
        <f>IF(Inputs!$C$6&lt;200000,"Y","N")</f>
        <v>N</v>
      </c>
      <c r="D17" s="12">
        <f>IF($C17="Y",IF($C$6=1,0.8,0.75),9.99)</f>
        <v>9.99</v>
      </c>
      <c r="E17" s="19" t="s">
        <v>148</v>
      </c>
    </row>
    <row r="18" spans="2:5">
      <c r="B18" s="18" t="s">
        <v>149</v>
      </c>
      <c r="C18" s="7" t="str">
        <f>IF(OR(Inputs!$C$26="Non-Warrantable Condo",Inputs!$C$26="Condotel/PUDtel",Inputs!$C$26="2-4 Unit",Inputs!$C$26="Manufactured Home"),"Y","N")</f>
        <v>N</v>
      </c>
      <c r="D18" s="12">
        <f t="array" ref="D18">IF($C18="Y",INDEX('Reference Tables'!$B$41:$G$48,MATCH(Inputs!$C$26,INDEX('Reference Tables'!$B$41:$G$48,0,1),0),1+$C$6)-IF(AND(Inputs!$C$27="Y",INDEX('Reference Tables'!$B$41:$G$48,MATCH(Inputs!$C$26,INDEX('Reference Tables'!$B$41:$G$48,0,1),0),6)="Y"),0.05,0),9.99)</f>
        <v>9.99</v>
      </c>
      <c r="E18" s="19" t="s">
        <v>150</v>
      </c>
    </row>
    <row r="19" spans="2:5">
      <c r="B19" s="18" t="s">
        <v>151</v>
      </c>
      <c r="C19" s="7" t="str">
        <f>IF(OR(Inputs!$C$36="No Ratio",AND(Inputs!$C$36="Calculated",ISNUMBER($C$12),$C$12&lt;1)),"Y","N")</f>
        <v>N</v>
      </c>
      <c r="D19" s="12">
        <f>IF($C19="Y",IF($C$6=1,0.75,IF($C$6=2,0.7,0.65)),9.99)</f>
        <v>9.99</v>
      </c>
      <c r="E19" s="19" t="s">
        <v>152</v>
      </c>
    </row>
    <row r="20" spans="2:5">
      <c r="B20" s="18" t="s">
        <v>153</v>
      </c>
      <c r="C20" s="7" t="str">
        <f>Inputs!$C$30</f>
        <v>N</v>
      </c>
      <c r="D20" s="12">
        <f>IF($C20="Y",IF($C$6=1,0.75,0.7),9.99)</f>
        <v>9.99</v>
      </c>
      <c r="E20" s="19" t="s">
        <v>154</v>
      </c>
    </row>
    <row r="21" spans="2:5" ht="15.75" customHeight="1">
      <c r="B21" s="18" t="s">
        <v>155</v>
      </c>
      <c r="C21" s="7" t="str">
        <f>IF(OR(Inputs!$C$12="Non-Permanent Resident",Inputs!$C$12="Foreign National",Inputs!$C$12="ITIN"),"Y","N")</f>
        <v>N</v>
      </c>
      <c r="D21" s="12">
        <f t="array" ref="D21">IF($C21="Y",IF(Inputs!$C$12="Non-Permanent Resident",0.8,IF(Inputs!$C$12="Foreign National",IF($C$6=1,0.7,0.65),IF(Inputs!$C$12="ITIN",INDEX('Reference Tables'!$B$60:$D$62,MATCH(Inputs!$C$15,INDEX('Reference Tables'!$B$60:$D$62,0,1),1),IF($C$6=1,2,3)),9.99))),9.99)</f>
        <v>9.99</v>
      </c>
      <c r="E21" s="19" t="s">
        <v>156</v>
      </c>
    </row>
    <row r="22" spans="2:5" ht="15.75" customHeight="1">
      <c r="B22" s="18" t="s">
        <v>157</v>
      </c>
      <c r="C22" s="7" t="str">
        <f>IF(OR(Inputs!$C$16&lt;=1,AND(Inputs!$C$16=2,Inputs!$C$17="N")),"Y","N")</f>
        <v>N</v>
      </c>
      <c r="D22" s="12">
        <f>IF($C22="Y",0.65,9.99)</f>
        <v>9.99</v>
      </c>
      <c r="E22" s="19" t="s">
        <v>158</v>
      </c>
    </row>
    <row r="23" spans="2:5" ht="15.75" customHeight="1">
      <c r="B23" s="18" t="s">
        <v>159</v>
      </c>
      <c r="C23" s="7" t="str">
        <f>IF(Inputs!$C$20="Clean / No Restriction","N","Y")</f>
        <v>N</v>
      </c>
      <c r="D23" s="12">
        <f t="array" ref="D23">IF($C23="Y",INDEX('Reference Tables'!$B$66:$D$70,MATCH(Inputs!$C$20,INDEX('Reference Tables'!$B$66:$D$70,0,1),0),IF($C$6=1,2,3)),9.99)</f>
        <v>9.99</v>
      </c>
      <c r="E23" s="19" t="s">
        <v>160</v>
      </c>
    </row>
    <row r="24" spans="2:5" ht="15.75" customHeight="1">
      <c r="B24" s="18" t="s">
        <v>79</v>
      </c>
      <c r="C24" s="7" t="str">
        <f>IF(OR(Inputs!$C$21="N/A - None",Inputs!$C$21="≥36 Mo (No Restriction)"),"N","Y")</f>
        <v>N</v>
      </c>
      <c r="D24" s="12">
        <f t="array" ref="D24">IF($C24="Y",INDEX('Reference Tables'!$B$74:$D$78,MATCH(Inputs!$C$21,INDEX('Reference Tables'!$B$74:$D$78,0,1),0),IF($C$6=1,2,3)),9.99)</f>
        <v>9.99</v>
      </c>
      <c r="E24" s="19" t="s">
        <v>161</v>
      </c>
    </row>
    <row r="25" spans="2:5" ht="15.75" customHeight="1">
      <c r="B25" s="18" t="s">
        <v>162</v>
      </c>
      <c r="C25" s="7" t="str">
        <f>IF(OR(Inputs!$C$22="N/A - None",Inputs!$C$22="≥24 Mo (No Restriction)"),"N","Y")</f>
        <v>N</v>
      </c>
      <c r="D25" s="12">
        <f t="array" ref="D25">IF($C25="Y",INDEX('Reference Tables'!$B$82:$D$85,MATCH(Inputs!$C$22,INDEX('Reference Tables'!$B$82:$D$85,0,1),0),IF($C$6=1,2,3)),9.99)</f>
        <v>9.99</v>
      </c>
      <c r="E25" s="19" t="s">
        <v>163</v>
      </c>
    </row>
    <row r="26" spans="2:5" ht="15.75" customHeight="1">
      <c r="B26" s="18" t="s">
        <v>164</v>
      </c>
      <c r="C26" s="7" t="str">
        <f>Inputs!$C$31</f>
        <v>N</v>
      </c>
      <c r="D26" s="12">
        <f>IF($C26="Y",IF($C$6=1,0.8,IF($C$6=2,0.75,0.7)),9.99)</f>
        <v>9.99</v>
      </c>
      <c r="E26" s="19" t="s">
        <v>165</v>
      </c>
    </row>
    <row r="27" spans="2:5" ht="15.75" customHeight="1">
      <c r="B27" s="18" t="s">
        <v>166</v>
      </c>
      <c r="C27" s="7" t="str">
        <f>Inputs!$C$14</f>
        <v>N</v>
      </c>
      <c r="D27" s="12">
        <f>IF($C27="Y",0.7,9.99)</f>
        <v>9.99</v>
      </c>
      <c r="E27" s="19" t="s">
        <v>167</v>
      </c>
    </row>
    <row r="28" spans="2:5" ht="15.75" customHeight="1">
      <c r="B28" s="18" t="s">
        <v>168</v>
      </c>
      <c r="C28" s="7" t="str">
        <f>IF(AND(Inputs!$C$28="Y",Inputs!$C$5="Rate &amp; Term Refinance"),"Y","N")</f>
        <v>N</v>
      </c>
      <c r="D28" s="12">
        <f>IF($C28="Y",IF(Inputs!$C$6&lt;=1000000,0.7,IF(Inputs!$C$6&lt;=2000000,0.65,9.99)),9.99)</f>
        <v>9.99</v>
      </c>
      <c r="E28" s="19" t="s">
        <v>169</v>
      </c>
    </row>
    <row r="29" spans="2:5" ht="15.75" customHeight="1">
      <c r="B29" s="18" t="s">
        <v>170</v>
      </c>
      <c r="C29" s="7" t="str">
        <f>IF(AND(Inputs!$C$28="Y",Inputs!$C$5="Cash-Out Refinance"),"Y","N")</f>
        <v>N</v>
      </c>
      <c r="D29" s="12">
        <f>IF($C29="Y",IF(Inputs!$C$6&lt;1500000,0.6,9.99),9.99)</f>
        <v>9.99</v>
      </c>
      <c r="E29" s="19" t="s">
        <v>171</v>
      </c>
    </row>
    <row r="30" spans="2:5" ht="15.75" customHeight="1">
      <c r="B30" s="18" t="s">
        <v>172</v>
      </c>
      <c r="C30" s="7" t="str">
        <f>Inputs!$C$29</f>
        <v>N</v>
      </c>
      <c r="D30" s="12">
        <f>IF($C30="Y",0.65,9.99)</f>
        <v>9.99</v>
      </c>
      <c r="E30" s="19" t="s">
        <v>173</v>
      </c>
    </row>
    <row r="31" spans="2:5" ht="15.75" customHeight="1">
      <c r="B31" s="18" t="s">
        <v>174</v>
      </c>
      <c r="C31" s="7" t="str">
        <f>Inputs!$C$47</f>
        <v>N</v>
      </c>
      <c r="D31" s="12">
        <f>IF($C31="Y",0.8,9.99)</f>
        <v>9.99</v>
      </c>
      <c r="E31" s="19" t="s">
        <v>175</v>
      </c>
    </row>
    <row r="32" spans="2:5" ht="15.75" customHeight="1"/>
    <row r="33" spans="1:5" ht="15.75" customHeight="1">
      <c r="B33" s="2" t="s">
        <v>176</v>
      </c>
      <c r="C33" s="22">
        <f>MIN(D16:D31)</f>
        <v>0.85</v>
      </c>
      <c r="E33" s="8" t="s">
        <v>177</v>
      </c>
    </row>
    <row r="34" spans="1:5" ht="15.75" customHeight="1">
      <c r="B34" s="2" t="s">
        <v>178</v>
      </c>
      <c r="C34" s="12">
        <f>IF(Inputs!$C$33="Y",-0.05,0)</f>
        <v>0</v>
      </c>
      <c r="E34" s="8" t="s">
        <v>179</v>
      </c>
    </row>
    <row r="35" spans="1:5" ht="15.75" customHeight="1">
      <c r="B35" s="23" t="s">
        <v>180</v>
      </c>
      <c r="C35" s="24">
        <f>MAX(0,$C$33+$C$34)</f>
        <v>0.85</v>
      </c>
    </row>
    <row r="36" spans="1:5" ht="15.75" customHeight="1"/>
    <row r="37" spans="1:5" ht="18" customHeight="1">
      <c r="A37" s="38" t="s">
        <v>181</v>
      </c>
      <c r="B37" s="36"/>
      <c r="C37" s="36"/>
      <c r="D37" s="36"/>
      <c r="E37" s="36"/>
    </row>
    <row r="38" spans="1:5" ht="15.75" customHeight="1">
      <c r="B38" s="3" t="s">
        <v>182</v>
      </c>
      <c r="C38" s="3" t="s">
        <v>143</v>
      </c>
      <c r="D38" s="3" t="s">
        <v>183</v>
      </c>
      <c r="E38" s="3" t="s">
        <v>145</v>
      </c>
    </row>
    <row r="39" spans="1:5" ht="15.75" customHeight="1">
      <c r="B39" s="18" t="s">
        <v>184</v>
      </c>
      <c r="C39" s="7" t="str">
        <f>IF(OR($C$8&gt;0.8,$C$35&gt;0.8),"Y","N")</f>
        <v>Y</v>
      </c>
      <c r="D39" s="25">
        <f>IF($C39="Y",1.2,0)</f>
        <v>1.2</v>
      </c>
      <c r="E39" s="19" t="s">
        <v>185</v>
      </c>
    </row>
    <row r="40" spans="1:5" ht="15.75" customHeight="1">
      <c r="B40" s="18" t="s">
        <v>186</v>
      </c>
      <c r="C40" s="7" t="str">
        <f>IF(Inputs!$C$6&gt;2000000,"Y","N")</f>
        <v>N</v>
      </c>
      <c r="D40" s="25">
        <f>IF($C40="Y",1,0)</f>
        <v>0</v>
      </c>
      <c r="E40" s="19" t="s">
        <v>187</v>
      </c>
    </row>
    <row r="41" spans="1:5" ht="15.75" customHeight="1">
      <c r="B41" s="18" t="s">
        <v>157</v>
      </c>
      <c r="C41" s="7" t="str">
        <f>IF(OR(Inputs!$C$16&lt;=1,AND(Inputs!$C$16=2,Inputs!$C$17="N")),"Y","N")</f>
        <v>N</v>
      </c>
      <c r="D41" s="25">
        <f>IF($C41="Y",1.1,0)</f>
        <v>0</v>
      </c>
      <c r="E41" s="19" t="s">
        <v>158</v>
      </c>
    </row>
    <row r="42" spans="1:5" ht="15.75" customHeight="1">
      <c r="B42" s="18" t="s">
        <v>164</v>
      </c>
      <c r="C42" s="7" t="str">
        <f>Inputs!$C$31</f>
        <v>N</v>
      </c>
      <c r="D42" s="25">
        <f t="shared" ref="D42:D43" si="0">IF($C42="Y",1,0)</f>
        <v>0</v>
      </c>
      <c r="E42" s="19" t="s">
        <v>165</v>
      </c>
    </row>
    <row r="43" spans="1:5" ht="15.75" customHeight="1">
      <c r="B43" s="18" t="s">
        <v>188</v>
      </c>
      <c r="C43" s="7" t="str">
        <f>IF(OR(Inputs!$C$26="Non-Warrantable Condo",Inputs!$C$26="Condotel/PUDtel"),"Y","N")</f>
        <v>N</v>
      </c>
      <c r="D43" s="25">
        <f t="shared" si="0"/>
        <v>0</v>
      </c>
      <c r="E43" s="19" t="s">
        <v>150</v>
      </c>
    </row>
    <row r="44" spans="1:5" ht="15.75" customHeight="1">
      <c r="B44" s="18" t="s">
        <v>166</v>
      </c>
      <c r="C44" s="7" t="str">
        <f>Inputs!$C$14</f>
        <v>N</v>
      </c>
      <c r="D44" s="25">
        <f>IF($C44="Y",1.15,0)</f>
        <v>0</v>
      </c>
      <c r="E44" s="19" t="s">
        <v>189</v>
      </c>
    </row>
    <row r="45" spans="1:5" ht="15.75" customHeight="1">
      <c r="B45" s="18" t="s">
        <v>168</v>
      </c>
      <c r="C45" s="7" t="str">
        <f>IF(AND(Inputs!$C$28="Y",Inputs!$C$5="Rate &amp; Term Refinance"),"Y","N")</f>
        <v>N</v>
      </c>
      <c r="D45" s="25">
        <f>IF($C45="Y",1,0)</f>
        <v>0</v>
      </c>
      <c r="E45" s="19" t="s">
        <v>190</v>
      </c>
    </row>
    <row r="46" spans="1:5" ht="15.75" customHeight="1">
      <c r="B46" s="18" t="s">
        <v>170</v>
      </c>
      <c r="C46" s="7" t="str">
        <f>IF(AND(Inputs!$C$28="Y",Inputs!$C$5="Cash-Out Refinance"),"Y","N")</f>
        <v>N</v>
      </c>
      <c r="D46" s="25">
        <f>IF($C46="Y",1.15,0)</f>
        <v>0</v>
      </c>
      <c r="E46" s="19" t="s">
        <v>191</v>
      </c>
    </row>
    <row r="47" spans="1:5" ht="15.75" customHeight="1">
      <c r="B47" s="18" t="s">
        <v>172</v>
      </c>
      <c r="C47" s="7" t="str">
        <f>Inputs!$C$29</f>
        <v>N</v>
      </c>
      <c r="D47" s="25">
        <f>IF($C47="Y",1,0)</f>
        <v>0</v>
      </c>
      <c r="E47" s="19" t="s">
        <v>192</v>
      </c>
    </row>
    <row r="48" spans="1:5" ht="15.75" customHeight="1">
      <c r="B48" s="18" t="s">
        <v>193</v>
      </c>
      <c r="C48" s="7" t="str">
        <f>Inputs!$C$32</f>
        <v>N</v>
      </c>
      <c r="D48" s="25">
        <f>IF($C48="Y",1.2,0)</f>
        <v>0</v>
      </c>
      <c r="E48" s="19" t="s">
        <v>194</v>
      </c>
    </row>
    <row r="49" spans="1:5" ht="15.75" customHeight="1"/>
    <row r="50" spans="1:5" ht="15.75" customHeight="1">
      <c r="B50" s="23" t="s">
        <v>195</v>
      </c>
      <c r="C50" s="26">
        <f>MAX(D39:D48)</f>
        <v>1.2</v>
      </c>
      <c r="E50" s="8" t="s">
        <v>196</v>
      </c>
    </row>
    <row r="51" spans="1:5" ht="15.75" customHeight="1"/>
    <row r="52" spans="1:5" ht="18" customHeight="1">
      <c r="A52" s="38" t="s">
        <v>197</v>
      </c>
      <c r="B52" s="36"/>
      <c r="C52" s="36"/>
      <c r="D52" s="36"/>
      <c r="E52" s="36"/>
    </row>
    <row r="53" spans="1:5" ht="15.75" customHeight="1">
      <c r="B53" s="3" t="s">
        <v>182</v>
      </c>
      <c r="C53" s="3" t="s">
        <v>143</v>
      </c>
      <c r="D53" s="3" t="s">
        <v>198</v>
      </c>
      <c r="E53" s="3" t="s">
        <v>145</v>
      </c>
    </row>
    <row r="54" spans="1:5" ht="15.75" customHeight="1">
      <c r="B54" s="18" t="s">
        <v>199</v>
      </c>
      <c r="C54" s="7" t="str">
        <f>"Y"</f>
        <v>Y</v>
      </c>
      <c r="D54" s="27">
        <f>IF($C54="Y",CHOOSE($C$7,600,620,700,700),0)</f>
        <v>600</v>
      </c>
      <c r="E54" s="19" t="s">
        <v>134</v>
      </c>
    </row>
    <row r="55" spans="1:5" ht="15.75" customHeight="1">
      <c r="B55" s="18" t="s">
        <v>151</v>
      </c>
      <c r="C55" s="7" t="str">
        <f>IF(OR(Inputs!$C$36="No Ratio",AND(Inputs!$C$36="Calculated",ISNUMBER($C$12),$C$12&lt;1)),"Y","N")</f>
        <v>N</v>
      </c>
      <c r="D55" s="27">
        <f t="shared" ref="D55:D58" si="1">IF($C55="Y",640,0)</f>
        <v>0</v>
      </c>
      <c r="E55" s="19" t="s">
        <v>152</v>
      </c>
    </row>
    <row r="56" spans="1:5" ht="15.75" customHeight="1">
      <c r="B56" s="18" t="s">
        <v>200</v>
      </c>
      <c r="C56" s="7" t="str">
        <f>IF(ISNUMBER(SEARCH("IO",Inputs!$C$46)),"Y","N")</f>
        <v>N</v>
      </c>
      <c r="D56" s="27">
        <f t="shared" si="1"/>
        <v>0</v>
      </c>
      <c r="E56" s="19" t="s">
        <v>201</v>
      </c>
    </row>
    <row r="57" spans="1:5" ht="15.75" customHeight="1">
      <c r="B57" s="18" t="s">
        <v>153</v>
      </c>
      <c r="C57" s="7" t="str">
        <f>Inputs!$C$30</f>
        <v>N</v>
      </c>
      <c r="D57" s="27">
        <f t="shared" si="1"/>
        <v>0</v>
      </c>
      <c r="E57" s="19" t="s">
        <v>154</v>
      </c>
    </row>
    <row r="58" spans="1:5" ht="15.75" customHeight="1">
      <c r="B58" s="18" t="s">
        <v>202</v>
      </c>
      <c r="C58" s="7" t="str">
        <f>IF(Inputs!$C$12="ITIN","Y","N")</f>
        <v>N</v>
      </c>
      <c r="D58" s="27">
        <f t="shared" si="1"/>
        <v>0</v>
      </c>
      <c r="E58" s="19" t="s">
        <v>203</v>
      </c>
    </row>
    <row r="59" spans="1:5" ht="15.75" customHeight="1">
      <c r="B59" s="18" t="s">
        <v>166</v>
      </c>
      <c r="C59" s="7" t="str">
        <f>Inputs!$C$14</f>
        <v>N</v>
      </c>
      <c r="D59" s="27">
        <f t="shared" ref="D59:D62" si="2">IF($C59="Y",700,0)</f>
        <v>0</v>
      </c>
      <c r="E59" s="19" t="s">
        <v>189</v>
      </c>
    </row>
    <row r="60" spans="1:5" ht="15.75" customHeight="1">
      <c r="B60" s="18" t="s">
        <v>204</v>
      </c>
      <c r="C60" s="7" t="str">
        <f>IF(Inputs!$C$28="Y","Y","N")</f>
        <v>N</v>
      </c>
      <c r="D60" s="27">
        <f t="shared" si="2"/>
        <v>0</v>
      </c>
      <c r="E60" s="19" t="s">
        <v>205</v>
      </c>
    </row>
    <row r="61" spans="1:5" ht="15.75" customHeight="1">
      <c r="B61" s="18" t="s">
        <v>164</v>
      </c>
      <c r="C61" s="7" t="str">
        <f>Inputs!$C$31</f>
        <v>N</v>
      </c>
      <c r="D61" s="27">
        <f t="shared" si="2"/>
        <v>0</v>
      </c>
      <c r="E61" s="19" t="s">
        <v>165</v>
      </c>
    </row>
    <row r="62" spans="1:5" ht="15.75" customHeight="1">
      <c r="B62" s="18" t="s">
        <v>174</v>
      </c>
      <c r="C62" s="7" t="str">
        <f>Inputs!$C$47</f>
        <v>N</v>
      </c>
      <c r="D62" s="27">
        <f t="shared" si="2"/>
        <v>0</v>
      </c>
      <c r="E62" s="19" t="s">
        <v>206</v>
      </c>
    </row>
    <row r="63" spans="1:5" ht="15.75" customHeight="1"/>
    <row r="64" spans="1:5" ht="15.75" customHeight="1">
      <c r="B64" s="23" t="s">
        <v>207</v>
      </c>
      <c r="C64" s="28">
        <f>MAX(D54:D62)</f>
        <v>600</v>
      </c>
    </row>
    <row r="65" spans="1:5" ht="15.75" customHeight="1"/>
    <row r="66" spans="1:5" ht="18" customHeight="1">
      <c r="A66" s="38" t="s">
        <v>208</v>
      </c>
      <c r="B66" s="36"/>
      <c r="C66" s="36"/>
      <c r="D66" s="36"/>
      <c r="E66" s="36"/>
    </row>
    <row r="67" spans="1:5" ht="15.75" customHeight="1">
      <c r="B67" s="3" t="s">
        <v>182</v>
      </c>
      <c r="C67" s="3" t="s">
        <v>143</v>
      </c>
      <c r="D67" s="3" t="s">
        <v>209</v>
      </c>
      <c r="E67" s="3" t="s">
        <v>145</v>
      </c>
    </row>
    <row r="68" spans="1:5" ht="15.75" customHeight="1">
      <c r="B68" s="18" t="s">
        <v>184</v>
      </c>
      <c r="C68" s="7" t="str">
        <f>IF(OR($C$8&gt;0.8,$C$35&gt;0.8),"Y","N")</f>
        <v>Y</v>
      </c>
      <c r="D68" s="27">
        <f>IF($C68="Y",6,0)</f>
        <v>6</v>
      </c>
      <c r="E68" s="19" t="s">
        <v>210</v>
      </c>
    </row>
    <row r="69" spans="1:5" ht="15.75" customHeight="1">
      <c r="B69" s="18" t="s">
        <v>211</v>
      </c>
      <c r="C69" s="7" t="str">
        <f>IF(Inputs!$C$15&lt;620,"Y","N")</f>
        <v>N</v>
      </c>
      <c r="D69" s="27">
        <f>IF($C69="Y",12,0)</f>
        <v>0</v>
      </c>
      <c r="E69" s="19" t="s">
        <v>71</v>
      </c>
    </row>
    <row r="70" spans="1:5" ht="15.75" customHeight="1">
      <c r="B70" s="18" t="s">
        <v>166</v>
      </c>
      <c r="C70" s="7" t="str">
        <f>Inputs!$C$14</f>
        <v>N</v>
      </c>
      <c r="D70" s="27">
        <f t="shared" ref="D70:D72" si="3">IF($C70="Y",6,0)</f>
        <v>0</v>
      </c>
      <c r="E70" s="19" t="s">
        <v>189</v>
      </c>
    </row>
    <row r="71" spans="1:5" ht="15.75" customHeight="1">
      <c r="B71" s="18" t="s">
        <v>168</v>
      </c>
      <c r="C71" s="7" t="str">
        <f>IF(AND(Inputs!$C$28="Y",Inputs!$C$5="Rate &amp; Term Refinance"),"Y","N")</f>
        <v>N</v>
      </c>
      <c r="D71" s="27">
        <f t="shared" si="3"/>
        <v>0</v>
      </c>
      <c r="E71" s="19" t="s">
        <v>212</v>
      </c>
    </row>
    <row r="72" spans="1:5" ht="15.75" customHeight="1">
      <c r="B72" s="18" t="s">
        <v>170</v>
      </c>
      <c r="C72" s="7" t="str">
        <f>IF(AND(Inputs!$C$28="Y",Inputs!$C$5="Cash-Out Refinance"),"Y","N")</f>
        <v>N</v>
      </c>
      <c r="D72" s="27">
        <f t="shared" si="3"/>
        <v>0</v>
      </c>
      <c r="E72" s="19" t="s">
        <v>191</v>
      </c>
    </row>
    <row r="73" spans="1:5" ht="15.75" customHeight="1">
      <c r="B73" s="18" t="s">
        <v>172</v>
      </c>
      <c r="C73" s="7" t="str">
        <f>Inputs!$C$29</f>
        <v>N</v>
      </c>
      <c r="D73" s="27">
        <f>IF($C73="Y",24,0)</f>
        <v>0</v>
      </c>
      <c r="E73" s="19" t="s">
        <v>213</v>
      </c>
    </row>
    <row r="74" spans="1:5" ht="15.75" customHeight="1">
      <c r="B74" s="18" t="s">
        <v>214</v>
      </c>
      <c r="C74" s="7" t="str">
        <f>Inputs!$C$23</f>
        <v>N</v>
      </c>
      <c r="D74" s="27">
        <f t="shared" ref="D74:D75" si="4">IF($C74="Y",12,0)</f>
        <v>0</v>
      </c>
      <c r="E74" s="19" t="s">
        <v>215</v>
      </c>
    </row>
    <row r="75" spans="1:5" ht="15.75" customHeight="1">
      <c r="B75" s="18" t="s">
        <v>216</v>
      </c>
      <c r="C75" s="7" t="str">
        <f>IF(AND($C$8&gt;0.7,Inputs!$C$49="N"),"Y","N")</f>
        <v>N</v>
      </c>
      <c r="D75" s="27">
        <f t="shared" si="4"/>
        <v>0</v>
      </c>
      <c r="E75" s="19" t="s">
        <v>217</v>
      </c>
    </row>
    <row r="76" spans="1:5" ht="15.75" customHeight="1"/>
    <row r="77" spans="1:5" ht="15.75" customHeight="1">
      <c r="B77" s="23" t="s">
        <v>218</v>
      </c>
      <c r="C77" s="28">
        <f>MAX(D68:D75)</f>
        <v>6</v>
      </c>
    </row>
    <row r="78" spans="1:5" ht="15.75" customHeight="1"/>
    <row r="79" spans="1:5" ht="18" customHeight="1">
      <c r="A79" s="38" t="s">
        <v>219</v>
      </c>
      <c r="B79" s="36"/>
      <c r="C79" s="36"/>
      <c r="D79" s="36"/>
      <c r="E79" s="36"/>
    </row>
    <row r="80" spans="1:5" ht="15.75" customHeight="1">
      <c r="B80" s="3" t="s">
        <v>220</v>
      </c>
      <c r="C80" s="3" t="s">
        <v>221</v>
      </c>
      <c r="D80" s="3" t="s">
        <v>222</v>
      </c>
      <c r="E80" s="3"/>
    </row>
    <row r="81" spans="1:5" ht="15.75" customHeight="1">
      <c r="B81" s="2" t="s">
        <v>223</v>
      </c>
      <c r="C81" s="29">
        <f>FLOOR($C$35*Inputs!$C$7,50)</f>
        <v>595000</v>
      </c>
    </row>
    <row r="82" spans="1:5" ht="15.75" customHeight="1">
      <c r="B82" s="2" t="s">
        <v>224</v>
      </c>
      <c r="C82" s="17" t="str">
        <f>IF($C$8&lt;=$C$35,"PASS","FAIL")</f>
        <v>FAIL</v>
      </c>
    </row>
    <row r="83" spans="1:5" ht="15.75" customHeight="1">
      <c r="B83" s="2" t="s">
        <v>225</v>
      </c>
      <c r="C83" s="17" t="str">
        <f>IF(Inputs!$C$36="No Ratio","N/A - No Ratio",IF($C$12&gt;=$C$50,"PASS","FAIL"))</f>
        <v>PASS</v>
      </c>
    </row>
    <row r="84" spans="1:5" ht="15.75" customHeight="1">
      <c r="B84" s="2" t="s">
        <v>226</v>
      </c>
      <c r="C84" s="17" t="str">
        <f>IF(Inputs!$C$15&gt;=$C$64,"PASS","FAIL")</f>
        <v>PASS</v>
      </c>
    </row>
    <row r="85" spans="1:5" ht="15.75" customHeight="1">
      <c r="B85" s="2" t="s">
        <v>227</v>
      </c>
      <c r="C85" s="17" t="str">
        <f>IF(AND(Inputs!$C$6&gt;=100000,Inputs!$C$6&lt;=3000000),"PASS","FAIL")</f>
        <v>PASS</v>
      </c>
    </row>
    <row r="86" spans="1:5" ht="15.75" customHeight="1">
      <c r="B86" s="2" t="s">
        <v>228</v>
      </c>
      <c r="C86" s="17" t="str">
        <f>IF(MOD(Inputs!$C$6,50)=0,"PASS","FAIL")</f>
        <v>PASS</v>
      </c>
    </row>
    <row r="87" spans="1:5" ht="15.75" customHeight="1">
      <c r="B87" s="2" t="s">
        <v>229</v>
      </c>
      <c r="C87" s="17" t="str">
        <f>IF(UPPER(Inputs!$C$8)="SD","FAIL","PASS")</f>
        <v>PASS</v>
      </c>
      <c r="E87" s="8" t="s">
        <v>55</v>
      </c>
    </row>
    <row r="88" spans="1:5" ht="15.75" customHeight="1">
      <c r="B88" s="2" t="s">
        <v>230</v>
      </c>
      <c r="C88" s="17" t="str">
        <f>IF(AND($C$35&gt;0.8,NOT(OR(Inputs!$C$26="SFR",Inputs!$C$26="Townhome",Inputs!$C$26="PUD",AND(Inputs!$C$26="Warrantable Condo",Inputs!$C$27="N")))),"FAIL","PASS")</f>
        <v>PASS</v>
      </c>
      <c r="E88" s="8" t="s">
        <v>231</v>
      </c>
    </row>
    <row r="89" spans="1:5" ht="15.75" customHeight="1">
      <c r="B89" s="23" t="s">
        <v>232</v>
      </c>
      <c r="C89" s="30" t="str">
        <f>IF($C$35&lt;=0,"NOT ELIGIBLE — no applicable CLTV cap permits this loan",IF(AND($C$82="PASS",OR($C$83="PASS",$C$83="N/A - No Ratio"),$C$84="PASS",$C$85="PASS",$C$86="PASS",$C$87="PASS",$C$88="PASS"),"ELIGIBLE, subject to conditions and Acra confirmation of open items","NOT ELIGIBLE / REVIEW REQUIRED — see failed test(s) above"))</f>
        <v>NOT ELIGIBLE / REVIEW REQUIRED — see failed test(s) above</v>
      </c>
    </row>
    <row r="90" spans="1:5" ht="15.75" customHeight="1"/>
    <row r="91" spans="1:5" ht="18" customHeight="1">
      <c r="A91" s="38" t="s">
        <v>233</v>
      </c>
      <c r="B91" s="36"/>
      <c r="C91" s="36"/>
      <c r="D91" s="36"/>
      <c r="E91" s="36"/>
    </row>
    <row r="92" spans="1:5" ht="15" customHeight="1">
      <c r="B92" s="31" t="s">
        <v>234</v>
      </c>
      <c r="C92" s="39"/>
      <c r="D92" s="40"/>
      <c r="E92" s="3" t="s">
        <v>145</v>
      </c>
    </row>
    <row r="93" spans="1:5" ht="27.75" customHeight="1">
      <c r="B93" s="32" t="str">
        <f>IF(AND(OR(Inputs!$C$14="Y",Inputs!$C$28="Y",Inputs!$C$29="Y"),ISNUMBER(SEARCH("IO",Inputs!$C$46))),"Interest-only is not permitted for first-time homebuyers, vacant-property refinances, or properties listed for sale.","")</f>
        <v/>
      </c>
      <c r="C93" s="39"/>
      <c r="D93" s="39"/>
      <c r="E93" s="8" t="s">
        <v>235</v>
      </c>
    </row>
    <row r="94" spans="1:5" ht="27.75" customHeight="1">
      <c r="B94" s="32" t="str">
        <f>IF(AND(Inputs!$C$47="Y",Inputs!$C$12="Foreign National"),"Foreign National is ineligible for the escrow waiver.","")</f>
        <v/>
      </c>
      <c r="C94" s="39"/>
      <c r="D94" s="39"/>
      <c r="E94" s="8" t="s">
        <v>236</v>
      </c>
    </row>
    <row r="95" spans="1:5" ht="27.75" customHeight="1">
      <c r="B95" s="32" t="str">
        <f>IF(AND(Inputs!$C$47="Y",OR(Inputs!$C$6&gt;1500000,Inputs!$C$15&lt;700)),"Escrow waiver requested but loan amount/FICO exceed the waiver's own limits ($1.5M / 700 FICO).","")</f>
        <v/>
      </c>
      <c r="C95" s="39"/>
      <c r="D95" s="39"/>
      <c r="E95" s="8" t="s">
        <v>206</v>
      </c>
    </row>
    <row r="96" spans="1:5" ht="27.75" customHeight="1">
      <c r="B96" s="32" t="str">
        <f>IF(Inputs!$C$48="Y","Gift funds require the borrower to contribute a minimum of 10% of the purchase price from their own sourced and seasoned funds.","")</f>
        <v/>
      </c>
      <c r="C96" s="39"/>
      <c r="D96" s="39"/>
      <c r="E96" s="8" t="s">
        <v>237</v>
      </c>
    </row>
    <row r="97" spans="2:5" ht="27.75" customHeight="1">
      <c r="B97" s="32" t="str">
        <f>IF(Inputs!$C$13="Y","Entity borrower: obtain full entity documentation (formation docs, operating agreement/bylaws, ownership evidence, good standing, EIN, resolution) and recourse guarantees from all ≥20% owners (STD-6.1-6.13); confirm at least one guarantor has prior homeow"&amp;"nership experience (STD-6.9; interacts with FTHB allowance per Q-09).","")</f>
        <v/>
      </c>
      <c r="C97" s="39"/>
      <c r="D97" s="39"/>
      <c r="E97" s="8" t="s">
        <v>238</v>
      </c>
    </row>
    <row r="98" spans="2:5" ht="27.75" customHeight="1">
      <c r="B98" s="32" t="str">
        <f>IF(Inputs!$C$12="Foreign National","Foreign National: confirm business-purpose-only eligibility, foreign-asset verification/repatriation (≥60 days seasoning, 3 business days before closing), AML/OFAC credit references, and closing-document requirements (§3.10).","")</f>
        <v/>
      </c>
      <c r="C98" s="39"/>
      <c r="D98" s="39"/>
      <c r="E98" s="8" t="s">
        <v>239</v>
      </c>
    </row>
    <row r="99" spans="2:5" ht="27.75" customHeight="1">
      <c r="B99" s="32" t="str">
        <f>IF(AND(Inputs!$C$28="Y",Inputs!$C$5="Rate &amp; Term Refinance",Inputs!$C$6&gt;2000000),"Vacant rate &amp; term refinance above $2,000,000 has no stated cap — Acra confirmation required (Q-10).","")</f>
        <v/>
      </c>
      <c r="C99" s="39"/>
      <c r="D99" s="39"/>
      <c r="E99" s="8" t="s">
        <v>240</v>
      </c>
    </row>
    <row r="100" spans="2:5" ht="27.75" customHeight="1">
      <c r="B100" s="32" t="str">
        <f>IF(AND(Inputs!$C$28="Y",Inputs!$C$5="Cash-Out Refinance",Inputs!$C$6&gt;=1500000),"Vacant cash-out refinance at/above $1,500,000 has no stated cap; also confirm ≥15 months ownership — Acra confirmation required (Q-10).","")</f>
        <v/>
      </c>
      <c r="C100" s="39"/>
      <c r="D100" s="39"/>
      <c r="E100" s="8" t="s">
        <v>241</v>
      </c>
    </row>
    <row r="101" spans="2:5" ht="27.75" customHeight="1">
      <c r="B101" s="32" t="str">
        <f>IF(AND(Inputs!$C$12="Non-Permanent Resident",Inputs!$C$6&gt;1500000),"Non-Permanent Resident loan amount exceeds the $1.5M figure paired with the 80% CLTV cap — confirm whether this is a hard cap or a conditional limit (Q-21).","")</f>
        <v/>
      </c>
      <c r="C101" s="39"/>
      <c r="D101" s="39"/>
      <c r="E101" s="8" t="s">
        <v>242</v>
      </c>
    </row>
    <row r="102" spans="2:5" ht="27.75" customHeight="1">
      <c r="B102" s="32" t="str">
        <f>IF(Inputs!$C$29="Y","Property listed for sale: verify not in default, tenant-occupied (not vacant), ≥ 3-yr prepayment penalty unless state-prohibited, fully amortizing (no I/O), no subordinate financing, and CLTV measured off the LOWER of appraised value or lowest recent list"&amp;" price.","")</f>
        <v/>
      </c>
      <c r="C102" s="39"/>
      <c r="D102" s="39"/>
      <c r="E102" s="8" t="s">
        <v>213</v>
      </c>
    </row>
    <row r="103" spans="2:5" ht="27.75" customHeight="1">
      <c r="B103" s="32" t="str">
        <f>IF(AND($C$8&gt;0.7,Inputs!$C$36&lt;&gt;""),"Rent loss insurance (6 months) is required for LTV &gt; 70% when subject rents are used to qualify, including No Ratio DSCR, unless CLTV ≤ 70%.","")</f>
        <v>Rent loss insurance (6 months) is required for LTV &gt; 70% when subject rents are used to qualify, including No Ratio DSCR, unless CLTV ≤ 70%.</v>
      </c>
      <c r="C103" s="39"/>
      <c r="D103" s="39"/>
      <c r="E103" s="8" t="s">
        <v>243</v>
      </c>
    </row>
    <row r="104" spans="2:5" ht="27.75" customHeight="1">
      <c r="B104" s="32" t="str">
        <f>IF(Inputs!$C$43&gt;0,"Subordinate/secondary financing payment entered: confirm whether subordinate financing is permitted on this program and on what terms — not established by the DSCR formula alone (Q-18).","")</f>
        <v/>
      </c>
      <c r="C104" s="39"/>
      <c r="D104" s="39"/>
      <c r="E104" s="8" t="s">
        <v>244</v>
      </c>
    </row>
    <row r="105" spans="2:5" ht="27.75" customHeight="1">
      <c r="B105" s="32" t="str">
        <f>IF(Inputs!$C$9="Y","Delayed financing is capped at $1.5MM; which matrix column and cash-in-hand rule apply is unconfirmed (Q-06).","")</f>
        <v/>
      </c>
      <c r="C105" s="39"/>
      <c r="D105" s="39"/>
      <c r="E105" s="8" t="s">
        <v>245</v>
      </c>
    </row>
    <row r="106" spans="2:5" ht="27.75" customHeight="1">
      <c r="B106" s="32" t="str">
        <f>"Prepayment penalty and state-specific restrictions are not automated — see Reference Tables, Table 11, and confirm treatment of ""BUY-OUT"" (Q-24)."</f>
        <v>Prepayment penalty and state-specific restrictions are not automated — see Reference Tables, Table 11, and confirm treatment of "BUY-OUT" (Q-24).</v>
      </c>
      <c r="C106" s="39"/>
      <c r="D106" s="39"/>
      <c r="E106" s="8" t="s">
        <v>246</v>
      </c>
    </row>
    <row r="107" spans="2:5" ht="15.75" customHeight="1"/>
    <row r="108" spans="2:5" ht="15.75" customHeight="1"/>
    <row r="109" spans="2:5" ht="15.75" customHeight="1"/>
    <row r="110" spans="2:5" ht="15.75" customHeight="1"/>
    <row r="111" spans="2:5" ht="15.75" customHeight="1"/>
    <row r="112" spans="2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05:D105"/>
    <mergeCell ref="B106:D106"/>
    <mergeCell ref="B97:D97"/>
    <mergeCell ref="B98:D98"/>
    <mergeCell ref="B99:D99"/>
    <mergeCell ref="B100:D100"/>
    <mergeCell ref="B101:D101"/>
    <mergeCell ref="B102:D102"/>
    <mergeCell ref="B103:D103"/>
    <mergeCell ref="B93:D93"/>
    <mergeCell ref="B94:D94"/>
    <mergeCell ref="B95:D95"/>
    <mergeCell ref="B96:D96"/>
    <mergeCell ref="B104:D104"/>
    <mergeCell ref="A52:E52"/>
    <mergeCell ref="A66:E66"/>
    <mergeCell ref="A79:E79"/>
    <mergeCell ref="A91:E91"/>
    <mergeCell ref="B92:D92"/>
    <mergeCell ref="A1:E1"/>
    <mergeCell ref="A2:E2"/>
    <mergeCell ref="A4:E4"/>
    <mergeCell ref="A14:E14"/>
    <mergeCell ref="A37:E37"/>
  </mergeCells>
  <conditionalFormatting sqref="C82">
    <cfRule type="expression" dxfId="29" priority="1">
      <formula>C82="PASS"</formula>
    </cfRule>
  </conditionalFormatting>
  <conditionalFormatting sqref="C82">
    <cfRule type="expression" dxfId="28" priority="2">
      <formula>C82="FAIL"</formula>
    </cfRule>
  </conditionalFormatting>
  <conditionalFormatting sqref="C83">
    <cfRule type="expression" dxfId="27" priority="3">
      <formula>C83="PASS"</formula>
    </cfRule>
  </conditionalFormatting>
  <conditionalFormatting sqref="C83">
    <cfRule type="expression" dxfId="26" priority="4">
      <formula>C83="FAIL"</formula>
    </cfRule>
  </conditionalFormatting>
  <conditionalFormatting sqref="C84">
    <cfRule type="expression" dxfId="25" priority="5">
      <formula>C84="PASS"</formula>
    </cfRule>
  </conditionalFormatting>
  <conditionalFormatting sqref="C84">
    <cfRule type="expression" dxfId="24" priority="6">
      <formula>C84="FAIL"</formula>
    </cfRule>
  </conditionalFormatting>
  <conditionalFormatting sqref="C85">
    <cfRule type="expression" dxfId="23" priority="7">
      <formula>C85="PASS"</formula>
    </cfRule>
  </conditionalFormatting>
  <conditionalFormatting sqref="C85">
    <cfRule type="expression" dxfId="22" priority="8">
      <formula>C85="FAIL"</formula>
    </cfRule>
  </conditionalFormatting>
  <conditionalFormatting sqref="C86">
    <cfRule type="expression" dxfId="21" priority="9">
      <formula>C86="PASS"</formula>
    </cfRule>
  </conditionalFormatting>
  <conditionalFormatting sqref="C86">
    <cfRule type="expression" dxfId="20" priority="10">
      <formula>C86="FAIL"</formula>
    </cfRule>
  </conditionalFormatting>
  <conditionalFormatting sqref="C87">
    <cfRule type="expression" dxfId="19" priority="11">
      <formula>C87="PASS"</formula>
    </cfRule>
  </conditionalFormatting>
  <conditionalFormatting sqref="C87">
    <cfRule type="expression" dxfId="18" priority="12">
      <formula>C87="FAIL"</formula>
    </cfRule>
  </conditionalFormatting>
  <conditionalFormatting sqref="C88">
    <cfRule type="expression" dxfId="17" priority="13">
      <formula>C88="PASS"</formula>
    </cfRule>
  </conditionalFormatting>
  <conditionalFormatting sqref="C88">
    <cfRule type="expression" dxfId="16" priority="14">
      <formula>C88="FAIL"</formula>
    </cfRule>
  </conditionalFormatting>
  <conditionalFormatting sqref="C89">
    <cfRule type="expression" dxfId="15" priority="15">
      <formula>ISNUMBER(SEARCH("NOT ELIGIBLE",C89))</formula>
    </cfRule>
  </conditionalFormatting>
  <conditionalFormatting sqref="C89">
    <cfRule type="expression" dxfId="14" priority="16">
      <formula>ISNUMBER(SEARCH("ELIGIBLE, subject",C89))</formula>
    </cfRule>
  </conditionalFormatting>
  <conditionalFormatting sqref="B93">
    <cfRule type="expression" dxfId="13" priority="17">
      <formula>B93&lt;&gt;""</formula>
    </cfRule>
  </conditionalFormatting>
  <conditionalFormatting sqref="B94">
    <cfRule type="expression" dxfId="12" priority="18">
      <formula>B94&lt;&gt;""</formula>
    </cfRule>
  </conditionalFormatting>
  <conditionalFormatting sqref="B95">
    <cfRule type="expression" dxfId="11" priority="19">
      <formula>B95&lt;&gt;""</formula>
    </cfRule>
  </conditionalFormatting>
  <conditionalFormatting sqref="B96">
    <cfRule type="expression" dxfId="10" priority="20">
      <formula>B96&lt;&gt;""</formula>
    </cfRule>
  </conditionalFormatting>
  <conditionalFormatting sqref="B97">
    <cfRule type="expression" dxfId="9" priority="21">
      <formula>B97&lt;&gt;""</formula>
    </cfRule>
  </conditionalFormatting>
  <conditionalFormatting sqref="B98">
    <cfRule type="expression" dxfId="8" priority="22">
      <formula>B98&lt;&gt;""</formula>
    </cfRule>
  </conditionalFormatting>
  <conditionalFormatting sqref="B99">
    <cfRule type="expression" dxfId="7" priority="23">
      <formula>B99&lt;&gt;""</formula>
    </cfRule>
  </conditionalFormatting>
  <conditionalFormatting sqref="B100">
    <cfRule type="expression" dxfId="6" priority="24">
      <formula>B100&lt;&gt;""</formula>
    </cfRule>
  </conditionalFormatting>
  <conditionalFormatting sqref="B101">
    <cfRule type="expression" dxfId="5" priority="25">
      <formula>B101&lt;&gt;""</formula>
    </cfRule>
  </conditionalFormatting>
  <conditionalFormatting sqref="B102">
    <cfRule type="expression" dxfId="4" priority="26">
      <formula>B102&lt;&gt;""</formula>
    </cfRule>
  </conditionalFormatting>
  <conditionalFormatting sqref="B103">
    <cfRule type="expression" dxfId="3" priority="27">
      <formula>B103&lt;&gt;""</formula>
    </cfRule>
  </conditionalFormatting>
  <conditionalFormatting sqref="B104">
    <cfRule type="expression" dxfId="2" priority="28">
      <formula>B104&lt;&gt;""</formula>
    </cfRule>
  </conditionalFormatting>
  <conditionalFormatting sqref="B105">
    <cfRule type="expression" dxfId="1" priority="29">
      <formula>B105&lt;&gt;""</formula>
    </cfRule>
  </conditionalFormatting>
  <conditionalFormatting sqref="B106">
    <cfRule type="expression" dxfId="0" priority="30">
      <formula>B106&lt;&gt;""</formula>
    </cfRule>
  </conditionalFormatting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3" customWidth="1"/>
    <col min="2" max="2" width="26" customWidth="1"/>
    <col min="3" max="3" width="12" customWidth="1"/>
    <col min="4" max="4" width="14" customWidth="1"/>
    <col min="5" max="7" width="12" customWidth="1"/>
    <col min="8" max="8" width="40" customWidth="1"/>
    <col min="9" max="26" width="8.7109375" customWidth="1"/>
  </cols>
  <sheetData>
    <row r="1" spans="1:8" ht="25.5" customHeight="1">
      <c r="A1" s="35" t="s">
        <v>247</v>
      </c>
      <c r="B1" s="36"/>
      <c r="C1" s="36"/>
      <c r="D1" s="36"/>
      <c r="E1" s="36"/>
      <c r="F1" s="36"/>
      <c r="G1" s="36"/>
      <c r="H1" s="36"/>
    </row>
    <row r="2" spans="1:8" ht="15.75" customHeight="1">
      <c r="A2" s="37" t="s">
        <v>248</v>
      </c>
      <c r="B2" s="36"/>
      <c r="C2" s="36"/>
      <c r="D2" s="36"/>
      <c r="E2" s="36"/>
      <c r="F2" s="36"/>
      <c r="G2" s="36"/>
      <c r="H2" s="36"/>
    </row>
    <row r="4" spans="1:8">
      <c r="B4" s="1" t="s">
        <v>249</v>
      </c>
    </row>
    <row r="5" spans="1:8">
      <c r="B5" s="3" t="s">
        <v>250</v>
      </c>
      <c r="C5" s="3" t="s">
        <v>47</v>
      </c>
      <c r="D5" s="3" t="s">
        <v>251</v>
      </c>
      <c r="E5" s="3" t="s">
        <v>252</v>
      </c>
    </row>
    <row r="6" spans="1:8">
      <c r="B6" s="4">
        <v>600</v>
      </c>
      <c r="C6" s="5">
        <v>0.6</v>
      </c>
      <c r="D6" s="5">
        <v>0.6</v>
      </c>
      <c r="E6" s="5">
        <v>0.6</v>
      </c>
    </row>
    <row r="7" spans="1:8">
      <c r="B7" s="4">
        <v>620</v>
      </c>
      <c r="C7" s="5">
        <v>0.65</v>
      </c>
      <c r="D7" s="5">
        <v>0.65</v>
      </c>
      <c r="E7" s="5">
        <v>0.65</v>
      </c>
    </row>
    <row r="8" spans="1:8">
      <c r="B8" s="4">
        <v>640</v>
      </c>
      <c r="C8" s="5">
        <v>0.75</v>
      </c>
      <c r="D8" s="5">
        <v>0.7</v>
      </c>
      <c r="E8" s="5">
        <v>0.7</v>
      </c>
    </row>
    <row r="9" spans="1:8">
      <c r="B9" s="4">
        <v>660</v>
      </c>
      <c r="C9" s="5">
        <v>0.8</v>
      </c>
      <c r="D9" s="5">
        <v>0.75</v>
      </c>
      <c r="E9" s="5">
        <v>0.75</v>
      </c>
    </row>
    <row r="10" spans="1:8">
      <c r="B10" s="4">
        <v>680</v>
      </c>
      <c r="C10" s="5">
        <v>0.8</v>
      </c>
      <c r="D10" s="5">
        <v>0.75</v>
      </c>
      <c r="E10" s="5">
        <v>0.75</v>
      </c>
    </row>
    <row r="11" spans="1:8">
      <c r="B11" s="4">
        <v>700</v>
      </c>
      <c r="C11" s="5">
        <v>0.8</v>
      </c>
      <c r="D11" s="5">
        <v>0.8</v>
      </c>
      <c r="E11" s="5">
        <v>0.75</v>
      </c>
    </row>
    <row r="12" spans="1:8">
      <c r="B12" s="4">
        <v>720</v>
      </c>
      <c r="C12" s="5">
        <v>0.85</v>
      </c>
      <c r="D12" s="5">
        <v>0.8</v>
      </c>
      <c r="E12" s="5">
        <v>0.8</v>
      </c>
    </row>
    <row r="13" spans="1:8">
      <c r="B13" s="4">
        <v>740</v>
      </c>
      <c r="C13" s="5">
        <v>0.85</v>
      </c>
      <c r="D13" s="5">
        <v>0.8</v>
      </c>
      <c r="E13" s="5">
        <v>0.8</v>
      </c>
    </row>
    <row r="14" spans="1:8">
      <c r="B14" s="4">
        <v>760</v>
      </c>
      <c r="C14" s="5">
        <v>0.85</v>
      </c>
      <c r="D14" s="5">
        <v>0.8</v>
      </c>
      <c r="E14" s="5">
        <v>0.8</v>
      </c>
    </row>
    <row r="15" spans="1:8">
      <c r="B15" s="4">
        <v>780</v>
      </c>
      <c r="C15" s="5">
        <v>0.85</v>
      </c>
      <c r="D15" s="5">
        <v>0.8</v>
      </c>
      <c r="E15" s="5">
        <v>0.8</v>
      </c>
    </row>
    <row r="17" spans="2:5">
      <c r="B17" s="1" t="s">
        <v>253</v>
      </c>
    </row>
    <row r="18" spans="2:5">
      <c r="B18" s="3" t="s">
        <v>250</v>
      </c>
      <c r="C18" s="3" t="s">
        <v>47</v>
      </c>
      <c r="D18" s="3" t="s">
        <v>251</v>
      </c>
      <c r="E18" s="3" t="s">
        <v>252</v>
      </c>
    </row>
    <row r="19" spans="2:5">
      <c r="B19" s="4">
        <v>300</v>
      </c>
      <c r="C19" s="5">
        <v>0</v>
      </c>
      <c r="D19" s="5">
        <v>0</v>
      </c>
      <c r="E19" s="5">
        <v>0</v>
      </c>
    </row>
    <row r="20" spans="2:5">
      <c r="B20" s="4">
        <v>620</v>
      </c>
      <c r="C20" s="5">
        <v>0.65</v>
      </c>
      <c r="D20" s="5">
        <v>0</v>
      </c>
      <c r="E20" s="5">
        <v>0</v>
      </c>
    </row>
    <row r="21" spans="2:5" ht="15.75" customHeight="1">
      <c r="B21" s="4">
        <v>640</v>
      </c>
      <c r="C21" s="5">
        <v>0.75</v>
      </c>
      <c r="D21" s="5">
        <v>0.65</v>
      </c>
      <c r="E21" s="5">
        <v>0.65</v>
      </c>
    </row>
    <row r="22" spans="2:5" ht="15.75" customHeight="1">
      <c r="B22" s="4">
        <v>660</v>
      </c>
      <c r="C22" s="5">
        <v>0.75</v>
      </c>
      <c r="D22" s="5">
        <v>0.7</v>
      </c>
      <c r="E22" s="5">
        <v>0.65</v>
      </c>
    </row>
    <row r="23" spans="2:5" ht="15.75" customHeight="1">
      <c r="B23" s="4">
        <v>680</v>
      </c>
      <c r="C23" s="5">
        <v>0.75</v>
      </c>
      <c r="D23" s="5">
        <v>0.7</v>
      </c>
      <c r="E23" s="5">
        <v>0.7</v>
      </c>
    </row>
    <row r="24" spans="2:5" ht="15.75" customHeight="1">
      <c r="B24" s="4">
        <v>700</v>
      </c>
      <c r="C24" s="5">
        <v>0.75</v>
      </c>
      <c r="D24" s="5">
        <v>0.7</v>
      </c>
      <c r="E24" s="5">
        <v>0.7</v>
      </c>
    </row>
    <row r="25" spans="2:5" ht="15.75" customHeight="1">
      <c r="B25" s="4">
        <v>720</v>
      </c>
      <c r="C25" s="5">
        <v>0.75</v>
      </c>
      <c r="D25" s="5">
        <v>0.75</v>
      </c>
      <c r="E25" s="5">
        <v>0.75</v>
      </c>
    </row>
    <row r="26" spans="2:5" ht="15.75" customHeight="1">
      <c r="B26" s="4">
        <v>740</v>
      </c>
      <c r="C26" s="5">
        <v>0.75</v>
      </c>
      <c r="D26" s="5">
        <v>0.75</v>
      </c>
      <c r="E26" s="5">
        <v>0.75</v>
      </c>
    </row>
    <row r="27" spans="2:5" ht="15.75" customHeight="1">
      <c r="B27" s="4">
        <v>760</v>
      </c>
      <c r="C27" s="5">
        <v>0.75</v>
      </c>
      <c r="D27" s="5">
        <v>0.75</v>
      </c>
      <c r="E27" s="5">
        <v>0.75</v>
      </c>
    </row>
    <row r="28" spans="2:5" ht="15.75" customHeight="1">
      <c r="B28" s="4">
        <v>780</v>
      </c>
      <c r="C28" s="5">
        <v>0.75</v>
      </c>
      <c r="D28" s="5">
        <v>0.75</v>
      </c>
      <c r="E28" s="5">
        <v>0.75</v>
      </c>
    </row>
    <row r="29" spans="2:5" ht="15.75" customHeight="1"/>
    <row r="30" spans="2:5" ht="15.75" customHeight="1">
      <c r="B30" s="1" t="s">
        <v>254</v>
      </c>
    </row>
    <row r="31" spans="2:5" ht="15.75" customHeight="1">
      <c r="B31" s="3" t="s">
        <v>250</v>
      </c>
      <c r="C31" s="3" t="s">
        <v>47</v>
      </c>
      <c r="D31" s="3" t="s">
        <v>251</v>
      </c>
      <c r="E31" s="3" t="s">
        <v>252</v>
      </c>
    </row>
    <row r="32" spans="2:5" ht="15.75" customHeight="1">
      <c r="B32" s="4">
        <v>300</v>
      </c>
      <c r="C32" s="5">
        <v>0</v>
      </c>
      <c r="D32" s="5">
        <v>0</v>
      </c>
      <c r="E32" s="5">
        <v>0</v>
      </c>
    </row>
    <row r="33" spans="2:7" ht="15.75" customHeight="1">
      <c r="B33" s="4">
        <v>700</v>
      </c>
      <c r="C33" s="5">
        <v>0.7</v>
      </c>
      <c r="D33" s="5">
        <v>0.7</v>
      </c>
      <c r="E33" s="5">
        <v>0.65</v>
      </c>
    </row>
    <row r="34" spans="2:7" ht="15.75" customHeight="1">
      <c r="B34" s="4">
        <v>720</v>
      </c>
      <c r="C34" s="5">
        <v>0.7</v>
      </c>
      <c r="D34" s="5">
        <v>0.7</v>
      </c>
      <c r="E34" s="5">
        <v>0.65</v>
      </c>
    </row>
    <row r="35" spans="2:7" ht="15.75" customHeight="1">
      <c r="B35" s="4">
        <v>740</v>
      </c>
      <c r="C35" s="5">
        <v>0.7</v>
      </c>
      <c r="D35" s="5">
        <v>0.7</v>
      </c>
      <c r="E35" s="5">
        <v>0.65</v>
      </c>
    </row>
    <row r="36" spans="2:7" ht="15.75" customHeight="1">
      <c r="B36" s="4">
        <v>760</v>
      </c>
      <c r="C36" s="5">
        <v>0.7</v>
      </c>
      <c r="D36" s="5">
        <v>0.7</v>
      </c>
      <c r="E36" s="5">
        <v>0.65</v>
      </c>
    </row>
    <row r="37" spans="2:7" ht="15.75" customHeight="1">
      <c r="B37" s="4">
        <v>780</v>
      </c>
      <c r="C37" s="5">
        <v>0.7</v>
      </c>
      <c r="D37" s="5">
        <v>0.7</v>
      </c>
      <c r="E37" s="5">
        <v>0.65</v>
      </c>
    </row>
    <row r="38" spans="2:7" ht="15.75" customHeight="1"/>
    <row r="39" spans="2:7" ht="15.75" customHeight="1">
      <c r="B39" s="1" t="s">
        <v>255</v>
      </c>
    </row>
    <row r="40" spans="2:7" ht="15.75" customHeight="1">
      <c r="B40" s="3" t="s">
        <v>86</v>
      </c>
      <c r="C40" s="3" t="s">
        <v>47</v>
      </c>
      <c r="D40" s="3" t="s">
        <v>251</v>
      </c>
      <c r="E40" s="3" t="s">
        <v>252</v>
      </c>
      <c r="F40" s="3" t="s">
        <v>256</v>
      </c>
      <c r="G40" s="3" t="s">
        <v>257</v>
      </c>
    </row>
    <row r="41" spans="2:7" ht="15.75" customHeight="1">
      <c r="B41" s="4" t="s">
        <v>87</v>
      </c>
      <c r="C41" s="10">
        <v>9.99</v>
      </c>
      <c r="D41" s="10">
        <v>9.99</v>
      </c>
      <c r="E41" s="10">
        <v>9.99</v>
      </c>
      <c r="F41" s="11"/>
      <c r="G41" s="4" t="s">
        <v>57</v>
      </c>
    </row>
    <row r="42" spans="2:7" ht="15.75" customHeight="1">
      <c r="B42" s="4" t="s">
        <v>258</v>
      </c>
      <c r="C42" s="10">
        <v>9.99</v>
      </c>
      <c r="D42" s="10">
        <v>9.99</v>
      </c>
      <c r="E42" s="10">
        <v>9.99</v>
      </c>
      <c r="F42" s="11"/>
      <c r="G42" s="4" t="s">
        <v>57</v>
      </c>
    </row>
    <row r="43" spans="2:7" ht="15.75" customHeight="1">
      <c r="B43" s="4" t="s">
        <v>259</v>
      </c>
      <c r="C43" s="10">
        <v>9.99</v>
      </c>
      <c r="D43" s="10">
        <v>9.99</v>
      </c>
      <c r="E43" s="10">
        <v>9.99</v>
      </c>
      <c r="F43" s="11"/>
      <c r="G43" s="4" t="s">
        <v>57</v>
      </c>
    </row>
    <row r="44" spans="2:7" ht="15.75" customHeight="1">
      <c r="B44" s="4" t="s">
        <v>260</v>
      </c>
      <c r="C44" s="10">
        <v>9.99</v>
      </c>
      <c r="D44" s="10">
        <v>9.99</v>
      </c>
      <c r="E44" s="10">
        <v>9.99</v>
      </c>
      <c r="F44" s="11"/>
      <c r="G44" s="4" t="s">
        <v>57</v>
      </c>
    </row>
    <row r="45" spans="2:7" ht="15.75" customHeight="1">
      <c r="B45" s="4" t="s">
        <v>261</v>
      </c>
      <c r="C45" s="10">
        <v>0.8</v>
      </c>
      <c r="D45" s="10">
        <v>0.75</v>
      </c>
      <c r="E45" s="10">
        <v>0.75</v>
      </c>
      <c r="F45" s="11">
        <v>1</v>
      </c>
      <c r="G45" s="4" t="s">
        <v>127</v>
      </c>
    </row>
    <row r="46" spans="2:7" ht="15.75" customHeight="1">
      <c r="B46" s="4" t="s">
        <v>262</v>
      </c>
      <c r="C46" s="10">
        <v>0.75</v>
      </c>
      <c r="D46" s="10">
        <v>0.7</v>
      </c>
      <c r="E46" s="10">
        <v>0.65</v>
      </c>
      <c r="F46" s="11">
        <v>1</v>
      </c>
      <c r="G46" s="4" t="s">
        <v>127</v>
      </c>
    </row>
    <row r="47" spans="2:7" ht="15.75" customHeight="1">
      <c r="B47" s="4" t="s">
        <v>263</v>
      </c>
      <c r="C47" s="10">
        <v>0.8</v>
      </c>
      <c r="D47" s="10">
        <v>0.8</v>
      </c>
      <c r="E47" s="10">
        <v>0.8</v>
      </c>
      <c r="F47" s="11"/>
      <c r="G47" s="4" t="s">
        <v>57</v>
      </c>
    </row>
    <row r="48" spans="2:7" ht="15.75" customHeight="1">
      <c r="B48" s="4" t="s">
        <v>264</v>
      </c>
      <c r="C48" s="10">
        <v>0.65</v>
      </c>
      <c r="D48" s="10">
        <v>0.6</v>
      </c>
      <c r="E48" s="10">
        <v>0.6</v>
      </c>
      <c r="F48" s="11"/>
      <c r="G48" s="4" t="s">
        <v>57</v>
      </c>
    </row>
    <row r="49" spans="2:7" ht="15.75" customHeight="1"/>
    <row r="50" spans="2:7" ht="15.75" customHeight="1">
      <c r="B50" s="1" t="s">
        <v>265</v>
      </c>
    </row>
    <row r="51" spans="2:7" ht="15.75" customHeight="1">
      <c r="B51" s="3" t="s">
        <v>266</v>
      </c>
      <c r="C51" s="3" t="s">
        <v>47</v>
      </c>
      <c r="D51" s="3" t="s">
        <v>251</v>
      </c>
      <c r="E51" s="3" t="s">
        <v>252</v>
      </c>
      <c r="F51" s="3" t="s">
        <v>267</v>
      </c>
      <c r="G51" s="3" t="s">
        <v>268</v>
      </c>
    </row>
    <row r="52" spans="2:7" ht="15.75" customHeight="1">
      <c r="B52" s="4" t="s">
        <v>61</v>
      </c>
      <c r="C52" s="10">
        <v>9.99</v>
      </c>
      <c r="D52" s="10">
        <v>9.99</v>
      </c>
      <c r="E52" s="10">
        <v>9.99</v>
      </c>
      <c r="F52" s="13"/>
      <c r="G52" s="8" t="s">
        <v>269</v>
      </c>
    </row>
    <row r="53" spans="2:7" ht="15.75" customHeight="1">
      <c r="B53" s="4" t="s">
        <v>270</v>
      </c>
      <c r="C53" s="10">
        <v>9.99</v>
      </c>
      <c r="D53" s="10">
        <v>9.99</v>
      </c>
      <c r="E53" s="10">
        <v>9.99</v>
      </c>
      <c r="F53" s="13"/>
      <c r="G53" s="8" t="s">
        <v>271</v>
      </c>
    </row>
    <row r="54" spans="2:7" ht="15.75" customHeight="1">
      <c r="B54" s="4" t="s">
        <v>272</v>
      </c>
      <c r="C54" s="10">
        <v>0.8</v>
      </c>
      <c r="D54" s="10">
        <v>0.8</v>
      </c>
      <c r="E54" s="10">
        <v>0.8</v>
      </c>
      <c r="F54" s="13">
        <v>1500000</v>
      </c>
      <c r="G54" s="8" t="s">
        <v>273</v>
      </c>
    </row>
    <row r="55" spans="2:7" ht="15.75" customHeight="1">
      <c r="B55" s="4" t="s">
        <v>274</v>
      </c>
      <c r="C55" s="10">
        <v>0.7</v>
      </c>
      <c r="D55" s="10">
        <v>0.65</v>
      </c>
      <c r="E55" s="10">
        <v>0.65</v>
      </c>
      <c r="F55" s="13"/>
      <c r="G55" s="8" t="s">
        <v>275</v>
      </c>
    </row>
    <row r="56" spans="2:7" ht="15.75" customHeight="1">
      <c r="B56" s="4" t="s">
        <v>276</v>
      </c>
      <c r="C56" s="14"/>
      <c r="D56" s="14"/>
      <c r="E56" s="14"/>
      <c r="F56" s="13">
        <v>1000000</v>
      </c>
      <c r="G56" s="8" t="s">
        <v>277</v>
      </c>
    </row>
    <row r="57" spans="2:7" ht="15.75" customHeight="1"/>
    <row r="58" spans="2:7" ht="15.75" customHeight="1">
      <c r="B58" s="1" t="s">
        <v>278</v>
      </c>
    </row>
    <row r="59" spans="2:7" ht="15.75" customHeight="1">
      <c r="B59" s="3" t="s">
        <v>250</v>
      </c>
      <c r="C59" s="3" t="s">
        <v>47</v>
      </c>
      <c r="D59" s="3" t="s">
        <v>279</v>
      </c>
    </row>
    <row r="60" spans="2:7" ht="15.75" customHeight="1">
      <c r="B60" s="4">
        <v>640</v>
      </c>
      <c r="C60" s="5">
        <v>0.6</v>
      </c>
      <c r="D60" s="5">
        <v>0.6</v>
      </c>
    </row>
    <row r="61" spans="2:7" ht="15.75" customHeight="1">
      <c r="B61" s="4">
        <v>660</v>
      </c>
      <c r="C61" s="5">
        <v>0.65</v>
      </c>
      <c r="D61" s="5">
        <v>0.6</v>
      </c>
    </row>
    <row r="62" spans="2:7" ht="15.75" customHeight="1">
      <c r="B62" s="4">
        <v>700</v>
      </c>
      <c r="C62" s="5">
        <v>0.7</v>
      </c>
      <c r="D62" s="5">
        <v>0.65</v>
      </c>
    </row>
    <row r="63" spans="2:7" ht="15.75" customHeight="1"/>
    <row r="64" spans="2:7" ht="15.75" customHeight="1">
      <c r="B64" s="1" t="s">
        <v>280</v>
      </c>
    </row>
    <row r="65" spans="2:4" ht="15.75" customHeight="1">
      <c r="B65" s="3" t="s">
        <v>281</v>
      </c>
      <c r="C65" s="3" t="s">
        <v>47</v>
      </c>
      <c r="D65" s="3" t="s">
        <v>279</v>
      </c>
    </row>
    <row r="66" spans="2:4" ht="15.75" customHeight="1">
      <c r="B66" s="4" t="s">
        <v>77</v>
      </c>
      <c r="C66" s="5">
        <v>9.99</v>
      </c>
      <c r="D66" s="5">
        <v>9.99</v>
      </c>
    </row>
    <row r="67" spans="2:4" ht="15.75" customHeight="1">
      <c r="B67" s="4" t="s">
        <v>282</v>
      </c>
      <c r="C67" s="5">
        <v>0.8</v>
      </c>
      <c r="D67" s="5">
        <v>0.75</v>
      </c>
    </row>
    <row r="68" spans="2:4" ht="15.75" customHeight="1">
      <c r="B68" s="4" t="s">
        <v>283</v>
      </c>
      <c r="C68" s="5">
        <v>0.75</v>
      </c>
      <c r="D68" s="5">
        <v>0.7</v>
      </c>
    </row>
    <row r="69" spans="2:4" ht="15.75" customHeight="1">
      <c r="B69" s="4" t="s">
        <v>284</v>
      </c>
      <c r="C69" s="5">
        <v>0.65</v>
      </c>
      <c r="D69" s="5">
        <v>0.65</v>
      </c>
    </row>
    <row r="70" spans="2:4" ht="15.75" customHeight="1">
      <c r="B70" s="4" t="s">
        <v>285</v>
      </c>
      <c r="C70" s="5">
        <v>0</v>
      </c>
      <c r="D70" s="5">
        <v>0</v>
      </c>
    </row>
    <row r="71" spans="2:4" ht="15.75" customHeight="1"/>
    <row r="72" spans="2:4" ht="15.75" customHeight="1">
      <c r="B72" s="1" t="s">
        <v>286</v>
      </c>
    </row>
    <row r="73" spans="2:4" ht="15.75" customHeight="1">
      <c r="B73" s="3" t="s">
        <v>281</v>
      </c>
      <c r="C73" s="3" t="s">
        <v>47</v>
      </c>
      <c r="D73" s="3" t="s">
        <v>279</v>
      </c>
    </row>
    <row r="74" spans="2:4" ht="15.75" customHeight="1">
      <c r="B74" s="4" t="s">
        <v>80</v>
      </c>
      <c r="C74" s="5">
        <v>9.99</v>
      </c>
      <c r="D74" s="5">
        <v>9.99</v>
      </c>
    </row>
    <row r="75" spans="2:4" ht="15.75" customHeight="1">
      <c r="B75" s="4" t="s">
        <v>287</v>
      </c>
      <c r="C75" s="5">
        <v>9.99</v>
      </c>
      <c r="D75" s="5">
        <v>9.99</v>
      </c>
    </row>
    <row r="76" spans="2:4" ht="15.75" customHeight="1">
      <c r="B76" s="4" t="s">
        <v>288</v>
      </c>
      <c r="C76" s="5">
        <v>0.8</v>
      </c>
      <c r="D76" s="5">
        <v>0.75</v>
      </c>
    </row>
    <row r="77" spans="2:4" ht="15.75" customHeight="1">
      <c r="B77" s="4" t="s">
        <v>289</v>
      </c>
      <c r="C77" s="5">
        <v>0.65</v>
      </c>
      <c r="D77" s="5">
        <v>0.65</v>
      </c>
    </row>
    <row r="78" spans="2:4" ht="15.75" customHeight="1">
      <c r="B78" s="4" t="s">
        <v>290</v>
      </c>
      <c r="C78" s="5">
        <v>0</v>
      </c>
      <c r="D78" s="5">
        <v>0</v>
      </c>
    </row>
    <row r="79" spans="2:4" ht="15.75" customHeight="1"/>
    <row r="80" spans="2:4" ht="15.75" customHeight="1">
      <c r="B80" s="1" t="s">
        <v>291</v>
      </c>
    </row>
    <row r="81" spans="2:4" ht="15.75" customHeight="1">
      <c r="B81" s="3" t="s">
        <v>281</v>
      </c>
      <c r="C81" s="3" t="s">
        <v>47</v>
      </c>
      <c r="D81" s="3" t="s">
        <v>279</v>
      </c>
    </row>
    <row r="82" spans="2:4" ht="15.75" customHeight="1">
      <c r="B82" s="4" t="s">
        <v>80</v>
      </c>
      <c r="C82" s="5">
        <v>9.99</v>
      </c>
      <c r="D82" s="5">
        <v>9.99</v>
      </c>
    </row>
    <row r="83" spans="2:4" ht="15.75" customHeight="1">
      <c r="B83" s="4" t="s">
        <v>292</v>
      </c>
      <c r="C83" s="5">
        <v>9.99</v>
      </c>
      <c r="D83" s="5">
        <v>9.99</v>
      </c>
    </row>
    <row r="84" spans="2:4" ht="15.75" customHeight="1">
      <c r="B84" s="4" t="s">
        <v>289</v>
      </c>
      <c r="C84" s="5">
        <v>0.8</v>
      </c>
      <c r="D84" s="5">
        <v>0.75</v>
      </c>
    </row>
    <row r="85" spans="2:4" ht="15.75" customHeight="1">
      <c r="B85" s="4" t="s">
        <v>290</v>
      </c>
      <c r="C85" s="5">
        <v>0.75</v>
      </c>
      <c r="D85" s="5">
        <v>0.7</v>
      </c>
    </row>
    <row r="86" spans="2:4" ht="15.75" customHeight="1"/>
    <row r="87" spans="2:4" ht="15.75" customHeight="1">
      <c r="B87" s="1" t="s">
        <v>293</v>
      </c>
    </row>
    <row r="88" spans="2:4" ht="15.75" customHeight="1">
      <c r="B88" s="3" t="s">
        <v>250</v>
      </c>
      <c r="C88" s="3" t="s">
        <v>294</v>
      </c>
    </row>
    <row r="89" spans="2:4" ht="15.75" customHeight="1">
      <c r="B89" s="4">
        <v>600</v>
      </c>
      <c r="C89" s="11">
        <v>5</v>
      </c>
    </row>
    <row r="90" spans="2:4" ht="15.75" customHeight="1">
      <c r="B90" s="4">
        <v>640</v>
      </c>
      <c r="C90" s="11">
        <v>4.25</v>
      </c>
    </row>
    <row r="91" spans="2:4" ht="15.75" customHeight="1">
      <c r="B91" s="4">
        <v>660</v>
      </c>
      <c r="C91" s="11">
        <v>4</v>
      </c>
    </row>
    <row r="92" spans="2:4" ht="15.75" customHeight="1">
      <c r="B92" s="4">
        <v>680</v>
      </c>
      <c r="C92" s="11">
        <v>3.75</v>
      </c>
    </row>
    <row r="93" spans="2:4" ht="15.75" customHeight="1">
      <c r="B93" s="4">
        <v>700</v>
      </c>
      <c r="C93" s="11">
        <v>3.5</v>
      </c>
    </row>
    <row r="94" spans="2:4" ht="15.75" customHeight="1">
      <c r="B94" s="4">
        <v>720</v>
      </c>
      <c r="C94" s="11">
        <v>3.25</v>
      </c>
    </row>
    <row r="95" spans="2:4" ht="15.75" customHeight="1">
      <c r="B95" s="4">
        <v>760</v>
      </c>
      <c r="C95" s="11">
        <v>3</v>
      </c>
    </row>
    <row r="96" spans="2:4" ht="15.75" customHeight="1"/>
    <row r="97" spans="2:7" ht="15.75" customHeight="1">
      <c r="B97" s="1" t="s">
        <v>295</v>
      </c>
    </row>
    <row r="98" spans="2:7" ht="15.75" customHeight="1">
      <c r="B98" s="3" t="s">
        <v>296</v>
      </c>
      <c r="C98" s="3" t="s">
        <v>297</v>
      </c>
    </row>
    <row r="99" spans="2:7" ht="15" customHeight="1">
      <c r="B99" s="4" t="s">
        <v>298</v>
      </c>
      <c r="C99" s="33" t="s">
        <v>299</v>
      </c>
      <c r="D99" s="39"/>
      <c r="E99" s="39"/>
      <c r="F99" s="39"/>
      <c r="G99" s="39"/>
    </row>
    <row r="100" spans="2:7" ht="32.25" customHeight="1">
      <c r="B100" s="4" t="s">
        <v>300</v>
      </c>
      <c r="C100" s="33" t="s">
        <v>301</v>
      </c>
      <c r="D100" s="39"/>
      <c r="E100" s="39"/>
      <c r="F100" s="39"/>
      <c r="G100" s="39"/>
    </row>
    <row r="101" spans="2:7" ht="15" customHeight="1">
      <c r="B101" s="4" t="s">
        <v>302</v>
      </c>
      <c r="C101" s="33" t="s">
        <v>299</v>
      </c>
      <c r="D101" s="39"/>
      <c r="E101" s="39"/>
      <c r="F101" s="39"/>
      <c r="G101" s="39"/>
    </row>
    <row r="102" spans="2:7" ht="15" customHeight="1">
      <c r="B102" s="4" t="s">
        <v>303</v>
      </c>
      <c r="C102" s="33" t="s">
        <v>304</v>
      </c>
      <c r="D102" s="39"/>
      <c r="E102" s="39"/>
      <c r="F102" s="39"/>
      <c r="G102" s="39"/>
    </row>
    <row r="103" spans="2:7" ht="15" customHeight="1">
      <c r="B103" s="4" t="s">
        <v>305</v>
      </c>
      <c r="C103" s="33" t="s">
        <v>299</v>
      </c>
      <c r="D103" s="39"/>
      <c r="E103" s="39"/>
      <c r="F103" s="39"/>
      <c r="G103" s="39"/>
    </row>
    <row r="104" spans="2:7" ht="15" customHeight="1">
      <c r="B104" s="4" t="s">
        <v>306</v>
      </c>
      <c r="C104" s="33" t="s">
        <v>299</v>
      </c>
      <c r="D104" s="39"/>
      <c r="E104" s="39"/>
      <c r="F104" s="39"/>
      <c r="G104" s="39"/>
    </row>
    <row r="105" spans="2:7" ht="15" customHeight="1">
      <c r="B105" s="4" t="s">
        <v>307</v>
      </c>
      <c r="C105" s="33" t="s">
        <v>308</v>
      </c>
      <c r="D105" s="39"/>
      <c r="E105" s="39"/>
      <c r="F105" s="39"/>
      <c r="G105" s="39"/>
    </row>
    <row r="106" spans="2:7" ht="15" customHeight="1">
      <c r="B106" s="4" t="s">
        <v>309</v>
      </c>
      <c r="C106" s="33" t="s">
        <v>310</v>
      </c>
      <c r="D106" s="39"/>
      <c r="E106" s="39"/>
      <c r="F106" s="39"/>
      <c r="G106" s="39"/>
    </row>
    <row r="107" spans="2:7" ht="15" customHeight="1">
      <c r="B107" s="4" t="s">
        <v>311</v>
      </c>
      <c r="C107" s="33" t="s">
        <v>299</v>
      </c>
      <c r="D107" s="39"/>
      <c r="E107" s="39"/>
      <c r="F107" s="39"/>
      <c r="G107" s="39"/>
    </row>
    <row r="108" spans="2:7" ht="15" customHeight="1">
      <c r="B108" s="4" t="s">
        <v>312</v>
      </c>
      <c r="C108" s="33" t="s">
        <v>313</v>
      </c>
      <c r="D108" s="39"/>
      <c r="E108" s="39"/>
      <c r="F108" s="39"/>
      <c r="G108" s="39"/>
    </row>
    <row r="109" spans="2:7" ht="21.75" customHeight="1">
      <c r="B109" s="4" t="s">
        <v>314</v>
      </c>
      <c r="C109" s="33" t="s">
        <v>315</v>
      </c>
      <c r="D109" s="39"/>
      <c r="E109" s="39"/>
      <c r="F109" s="39"/>
      <c r="G109" s="39"/>
    </row>
    <row r="110" spans="2:7" ht="15" customHeight="1">
      <c r="B110" s="4" t="s">
        <v>316</v>
      </c>
      <c r="C110" s="33" t="s">
        <v>317</v>
      </c>
      <c r="D110" s="39"/>
      <c r="E110" s="39"/>
      <c r="F110" s="39"/>
      <c r="G110" s="39"/>
    </row>
    <row r="111" spans="2:7" ht="15" customHeight="1">
      <c r="B111" s="4" t="s">
        <v>318</v>
      </c>
      <c r="C111" s="33" t="s">
        <v>319</v>
      </c>
      <c r="D111" s="39"/>
      <c r="E111" s="39"/>
      <c r="F111" s="39"/>
      <c r="G111" s="39"/>
    </row>
    <row r="112" spans="2:7" ht="15" customHeight="1">
      <c r="B112" s="4" t="s">
        <v>320</v>
      </c>
      <c r="C112" s="33" t="s">
        <v>321</v>
      </c>
      <c r="D112" s="39"/>
      <c r="E112" s="39"/>
      <c r="F112" s="39"/>
      <c r="G112" s="39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102:G102"/>
    <mergeCell ref="C103:G103"/>
    <mergeCell ref="C111:G111"/>
    <mergeCell ref="C112:G112"/>
    <mergeCell ref="C104:G104"/>
    <mergeCell ref="C105:G105"/>
    <mergeCell ref="C106:G106"/>
    <mergeCell ref="C107:G107"/>
    <mergeCell ref="C108:G108"/>
    <mergeCell ref="C109:G109"/>
    <mergeCell ref="C110:G110"/>
    <mergeCell ref="A1:H1"/>
    <mergeCell ref="A2:H2"/>
    <mergeCell ref="C99:G99"/>
    <mergeCell ref="C100:G100"/>
    <mergeCell ref="C101:G101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3" customWidth="1"/>
    <col min="2" max="2" width="10" customWidth="1"/>
    <col min="3" max="3" width="60" customWidth="1"/>
    <col min="4" max="4" width="45" customWidth="1"/>
    <col min="5" max="26" width="8.7109375" customWidth="1"/>
  </cols>
  <sheetData>
    <row r="1" spans="1:4" ht="25.5" customHeight="1">
      <c r="A1" s="35" t="s">
        <v>322</v>
      </c>
      <c r="B1" s="36"/>
      <c r="C1" s="36"/>
      <c r="D1" s="36"/>
    </row>
    <row r="2" spans="1:4" ht="15.75" customHeight="1">
      <c r="A2" s="37" t="s">
        <v>323</v>
      </c>
      <c r="B2" s="36"/>
      <c r="C2" s="36"/>
      <c r="D2" s="36"/>
    </row>
    <row r="4" spans="1:4">
      <c r="B4" s="3" t="s">
        <v>324</v>
      </c>
      <c r="C4" s="3" t="s">
        <v>325</v>
      </c>
      <c r="D4" s="3" t="s">
        <v>326</v>
      </c>
    </row>
    <row r="5" spans="1:4" ht="45" customHeight="1">
      <c r="B5" s="20" t="s">
        <v>327</v>
      </c>
      <c r="C5" s="21" t="s">
        <v>328</v>
      </c>
      <c r="D5" s="21" t="s">
        <v>329</v>
      </c>
    </row>
    <row r="6" spans="1:4" ht="45" customHeight="1">
      <c r="B6" s="20" t="s">
        <v>330</v>
      </c>
      <c r="C6" s="21" t="s">
        <v>331</v>
      </c>
      <c r="D6" s="21" t="s">
        <v>332</v>
      </c>
    </row>
    <row r="7" spans="1:4" ht="45" customHeight="1">
      <c r="B7" s="20" t="s">
        <v>333</v>
      </c>
      <c r="C7" s="21" t="s">
        <v>334</v>
      </c>
      <c r="D7" s="21" t="s">
        <v>335</v>
      </c>
    </row>
    <row r="8" spans="1:4" ht="45" customHeight="1">
      <c r="B8" s="20" t="s">
        <v>336</v>
      </c>
      <c r="C8" s="21" t="s">
        <v>337</v>
      </c>
      <c r="D8" s="21" t="s">
        <v>338</v>
      </c>
    </row>
    <row r="9" spans="1:4" ht="45" customHeight="1">
      <c r="B9" s="20" t="s">
        <v>339</v>
      </c>
      <c r="C9" s="21" t="s">
        <v>340</v>
      </c>
      <c r="D9" s="21" t="s">
        <v>341</v>
      </c>
    </row>
    <row r="10" spans="1:4" ht="45" customHeight="1">
      <c r="B10" s="20" t="s">
        <v>342</v>
      </c>
      <c r="C10" s="21" t="s">
        <v>343</v>
      </c>
      <c r="D10" s="21" t="s">
        <v>344</v>
      </c>
    </row>
    <row r="11" spans="1:4" ht="45" customHeight="1">
      <c r="B11" s="20" t="s">
        <v>345</v>
      </c>
      <c r="C11" s="21" t="s">
        <v>346</v>
      </c>
      <c r="D11" s="21" t="s">
        <v>347</v>
      </c>
    </row>
    <row r="12" spans="1:4" ht="45" customHeight="1">
      <c r="B12" s="20" t="s">
        <v>348</v>
      </c>
      <c r="C12" s="21" t="s">
        <v>349</v>
      </c>
      <c r="D12" s="21" t="s">
        <v>350</v>
      </c>
    </row>
    <row r="13" spans="1:4" ht="45" customHeight="1">
      <c r="B13" s="20" t="s">
        <v>351</v>
      </c>
      <c r="C13" s="21" t="s">
        <v>352</v>
      </c>
      <c r="D13" s="21" t="s">
        <v>353</v>
      </c>
    </row>
    <row r="14" spans="1:4" ht="45" customHeight="1">
      <c r="B14" s="20" t="s">
        <v>354</v>
      </c>
      <c r="C14" s="21" t="s">
        <v>355</v>
      </c>
      <c r="D14" s="21" t="s">
        <v>356</v>
      </c>
    </row>
    <row r="15" spans="1:4" ht="45" customHeight="1">
      <c r="B15" s="20" t="s">
        <v>357</v>
      </c>
      <c r="C15" s="21" t="s">
        <v>358</v>
      </c>
      <c r="D15" s="21" t="s">
        <v>359</v>
      </c>
    </row>
    <row r="16" spans="1:4" ht="45" customHeight="1">
      <c r="B16" s="20" t="s">
        <v>360</v>
      </c>
      <c r="C16" s="21" t="s">
        <v>361</v>
      </c>
      <c r="D16" s="21" t="s">
        <v>362</v>
      </c>
    </row>
    <row r="17" spans="2:4" ht="45" customHeight="1">
      <c r="B17" s="20" t="s">
        <v>363</v>
      </c>
      <c r="C17" s="21" t="s">
        <v>364</v>
      </c>
      <c r="D17" s="21" t="s">
        <v>365</v>
      </c>
    </row>
    <row r="18" spans="2:4" ht="45" customHeight="1">
      <c r="B18" s="20" t="s">
        <v>366</v>
      </c>
      <c r="C18" s="21" t="s">
        <v>367</v>
      </c>
      <c r="D18" s="21" t="s">
        <v>368</v>
      </c>
    </row>
    <row r="19" spans="2:4" ht="45" customHeight="1">
      <c r="B19" s="20" t="s">
        <v>369</v>
      </c>
      <c r="C19" s="21" t="s">
        <v>370</v>
      </c>
      <c r="D19" s="21" t="s">
        <v>371</v>
      </c>
    </row>
    <row r="20" spans="2:4" ht="45" customHeight="1">
      <c r="B20" s="20" t="s">
        <v>372</v>
      </c>
      <c r="C20" s="21" t="s">
        <v>373</v>
      </c>
      <c r="D20" s="21" t="s">
        <v>374</v>
      </c>
    </row>
    <row r="21" spans="2:4" ht="15.75" customHeight="1"/>
    <row r="22" spans="2:4" ht="45" customHeight="1">
      <c r="B22" s="34" t="s">
        <v>375</v>
      </c>
      <c r="C22" s="41"/>
      <c r="D22" s="41"/>
    </row>
    <row r="23" spans="2:4" ht="15.75" customHeight="1"/>
    <row r="24" spans="2:4" ht="15.75" customHeight="1"/>
    <row r="25" spans="2:4" ht="15.75" customHeight="1"/>
    <row r="26" spans="2:4" ht="15.75" customHeight="1"/>
    <row r="27" spans="2:4" ht="15.75" customHeight="1"/>
    <row r="28" spans="2:4" ht="15.75" customHeight="1"/>
    <row r="29" spans="2:4" ht="15.75" customHeight="1"/>
    <row r="30" spans="2:4" ht="15.75" customHeight="1"/>
    <row r="31" spans="2:4" ht="15.75" customHeight="1"/>
    <row r="32" spans="2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B22:D2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2026-09-29T05:23:32Z</dcterms:created>
  <dcterms:modified xsi:type="dcterms:W3CDTF">2026-09-29T05:23:32Z</dcterms:modified>
  <cp:category/>
  <cp:contentStatus/>
</cp:coreProperties>
</file>