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-12 Spread" sheetId="1" state="visible" r:id="rId3"/>
    <sheet name="Fill Tra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" authorId="0">
      <text>
        <r>
          <rPr>
            <sz val="10"/>
            <rFont val="Arial"/>
            <family val="2"/>
          </rPr>
          <t xml:space="preserve">FLAGGED +38.0% T-12 vs Year 2 while total opex moves +6.2%.
Skill mv_insurance_loe applied. Evidence bound: MesaVerde_Insurance_LOE_RachelKim.pdf.
confirmation_required = true; NOI and DSCR held at pre-flag.</t>
        </r>
      </text>
    </comment>
    <comment ref="D13" authorId="0">
      <text>
        <r>
          <rPr>
            <sz val="10"/>
            <rFont val="Arial"/>
            <family val="2"/>
          </rPr>
          <t xml:space="preserve">confirmation_required = true per the customer's own row-19 note.</t>
        </r>
      </text>
    </comment>
    <comment ref="D15" authorId="0">
      <text>
        <r>
          <rPr>
            <sz val="10"/>
            <rFont val="Arial"/>
            <family val="2"/>
          </rPr>
          <t xml:space="preserve">state = pre_flag. Two gated inputs (Insurance, Property Tax) are unconfirmed, so this figure must not flow into covenant testing or the credit decision.
Skill mv_pending_confirmation applied.</t>
        </r>
      </text>
    </comment>
    <comment ref="D16" authorId="0">
      <text>
        <r>
          <rPr>
            <sz val="10"/>
            <rFont val="Arial"/>
            <family val="2"/>
          </rPr>
          <t xml:space="preserve">Term-sheet constant, not extracted from the operating statements.</t>
        </r>
      </text>
    </comment>
  </commentList>
</comments>
</file>

<file path=xl/sharedStrings.xml><?xml version="1.0" encoding="utf-8"?>
<sst xmlns="http://schemas.openxmlformats.org/spreadsheetml/2006/main" count="104" uniqueCount="63">
  <si>
    <t xml:space="preserve">Mesa Verde Apartments - T-12 Operating Spread</t>
  </si>
  <si>
    <t xml:space="preserve">Bank CRE Multifamily Template - filled by TemplateFillAgent from the application package</t>
  </si>
  <si>
    <t xml:space="preserve">Line Item</t>
  </si>
  <si>
    <t xml:space="preserve">Year 1</t>
  </si>
  <si>
    <t xml:space="preserve">Year 2</t>
  </si>
  <si>
    <t xml:space="preserve">T-12</t>
  </si>
  <si>
    <t xml:space="preserve">YoY %</t>
  </si>
  <si>
    <t xml:space="preserve">Effective Gross Income</t>
  </si>
  <si>
    <t xml:space="preserve">Property Management</t>
  </si>
  <si>
    <t xml:space="preserve">Payroll &amp; Benefits</t>
  </si>
  <si>
    <t xml:space="preserve">Maintenance &amp; Operations</t>
  </si>
  <si>
    <t xml:space="preserve">Utilities</t>
  </si>
  <si>
    <t xml:space="preserve">General &amp; Administrative</t>
  </si>
  <si>
    <t xml:space="preserve">Replacement Reserves</t>
  </si>
  <si>
    <t xml:space="preserve">Insurance</t>
  </si>
  <si>
    <t xml:space="preserve">Property Tax</t>
  </si>
  <si>
    <t xml:space="preserve">Total Operating Expenses</t>
  </si>
  <si>
    <t xml:space="preserve">NOI (pre-flag)</t>
  </si>
  <si>
    <t xml:space="preserve">Debt Service</t>
  </si>
  <si>
    <t xml:space="preserve">DSCR (pre-flag)</t>
  </si>
  <si>
    <t xml:space="preserve">Note: Insurance and Property Tax pending analyst confirmation. Post-flag NOI/DSCR locks once cleared.</t>
  </si>
  <si>
    <t xml:space="preserve">Legend</t>
  </si>
  <si>
    <t xml:space="preserve">Blue = extracted from a source document (hover a flagged cell for its provenance).</t>
  </si>
  <si>
    <t xml:space="preserve">Black = formula, recalculates from the cells above.</t>
  </si>
  <si>
    <t xml:space="preserve">Shaded = variance gate tripped; an analyst must confirm before NOI/DSCR lock.</t>
  </si>
  <si>
    <t xml:space="preserve">Fill Trace - every template field, populated or not</t>
  </si>
  <si>
    <t xml:space="preserve">One row per OutputTemplate field. The unmatched set is enumerable by construction; a blank cell is never silent.</t>
  </si>
  <si>
    <t xml:space="preserve">key</t>
  </si>
  <si>
    <t xml:space="preserve">label</t>
  </si>
  <si>
    <t xml:space="preserve">status</t>
  </si>
  <si>
    <t xml:space="preserve">match</t>
  </si>
  <si>
    <t xml:space="preserve">source</t>
  </si>
  <si>
    <t xml:space="preserve">confidence</t>
  </si>
  <si>
    <t xml:space="preserve">skill applied</t>
  </si>
  <si>
    <t xml:space="preserve">effective_gross_income</t>
  </si>
  <si>
    <t xml:space="preserve">populated</t>
  </si>
  <si>
    <t xml:space="preserve">exact_key</t>
  </si>
  <si>
    <t xml:space="preserve">T-12 Operating Stmt p.1</t>
  </si>
  <si>
    <t xml:space="preserve">opex_property_management</t>
  </si>
  <si>
    <t xml:space="preserve">T-12 Operating Stmt p.2</t>
  </si>
  <si>
    <t xml:space="preserve">opex_payroll_and_benefits</t>
  </si>
  <si>
    <t xml:space="preserve">opex_maintenance_and_operations</t>
  </si>
  <si>
    <t xml:space="preserve">alias_key</t>
  </si>
  <si>
    <t xml:space="preserve">opex_utilities</t>
  </si>
  <si>
    <t xml:space="preserve">opex_general_and_administrative</t>
  </si>
  <si>
    <t xml:space="preserve">opex_replacement_reserves</t>
  </si>
  <si>
    <t xml:space="preserve">Underwriting convention</t>
  </si>
  <si>
    <t xml:space="preserve">opex_insurance</t>
  </si>
  <si>
    <t xml:space="preserve">populated (gated)</t>
  </si>
  <si>
    <t xml:space="preserve">T-12 + LOE (Rachel Kim)</t>
  </si>
  <si>
    <t xml:space="preserve">mv_insurance_loe</t>
  </si>
  <si>
    <t xml:space="preserve">opex_property_tax</t>
  </si>
  <si>
    <t xml:space="preserve">mv_pending_confirmation</t>
  </si>
  <si>
    <t xml:space="preserve">total_operating_expenses</t>
  </si>
  <si>
    <t xml:space="preserve">derived</t>
  </si>
  <si>
    <t xml:space="preserve">-</t>
  </si>
  <si>
    <t xml:space="preserve">formula</t>
  </si>
  <si>
    <t xml:space="preserve">net_operating_income</t>
  </si>
  <si>
    <t xml:space="preserve">derived (pre_flag)</t>
  </si>
  <si>
    <t xml:space="preserve">annual_debt_service</t>
  </si>
  <si>
    <t xml:space="preserve">Term sheet</t>
  </si>
  <si>
    <t xml:space="preserve">dscr</t>
  </si>
  <si>
    <t xml:space="preserve">Unmatched fields: 0 of 13. Every template row is present.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</si>
</sst>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\x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5190000</v>
      </c>
      <c r="C5" s="6" t="n">
        <v>5320000</v>
      </c>
      <c r="D5" s="6" t="n">
        <v>5453000</v>
      </c>
      <c r="E5" s="7" t="n">
        <f aca="false">IF(C5=0,"",(D5-C5)/C5)</f>
        <v>0.025</v>
      </c>
    </row>
    <row r="6" customFormat="false" ht="15" hidden="false" customHeight="false" outlineLevel="0" collapsed="false">
      <c r="A6" s="5" t="s">
        <v>8</v>
      </c>
      <c r="B6" s="6" t="n">
        <v>207000</v>
      </c>
      <c r="C6" s="6" t="n">
        <v>213000</v>
      </c>
      <c r="D6" s="6" t="n">
        <v>218000</v>
      </c>
      <c r="E6" s="7" t="n">
        <f aca="false">IF(C6=0,"",(D6-C6)/C6)</f>
        <v>0.0234741784037559</v>
      </c>
    </row>
    <row r="7" customFormat="false" ht="15" hidden="false" customHeight="false" outlineLevel="0" collapsed="false">
      <c r="A7" s="5" t="s">
        <v>9</v>
      </c>
      <c r="B7" s="6" t="n">
        <v>249000</v>
      </c>
      <c r="C7" s="6" t="n">
        <v>256000</v>
      </c>
      <c r="D7" s="6" t="n">
        <v>262000</v>
      </c>
      <c r="E7" s="7" t="n">
        <f aca="false">IF(C7=0,"",(D7-C7)/C7)</f>
        <v>0.0234375</v>
      </c>
    </row>
    <row r="8" customFormat="false" ht="15" hidden="false" customHeight="false" outlineLevel="0" collapsed="false">
      <c r="A8" s="5" t="s">
        <v>10</v>
      </c>
      <c r="B8" s="6" t="n">
        <v>686000</v>
      </c>
      <c r="C8" s="6" t="n">
        <v>703000</v>
      </c>
      <c r="D8" s="6" t="n">
        <v>720400</v>
      </c>
      <c r="E8" s="7" t="n">
        <f aca="false">IF(C8=0,"",(D8-C8)/C8)</f>
        <v>0.02475106685633</v>
      </c>
    </row>
    <row r="9" customFormat="false" ht="15" hidden="false" customHeight="false" outlineLevel="0" collapsed="false">
      <c r="A9" s="5" t="s">
        <v>11</v>
      </c>
      <c r="B9" s="6" t="n">
        <v>93000</v>
      </c>
      <c r="C9" s="6" t="n">
        <v>96000</v>
      </c>
      <c r="D9" s="6" t="n">
        <v>98000</v>
      </c>
      <c r="E9" s="7" t="n">
        <f aca="false">IF(C9=0,"",(D9-C9)/C9)</f>
        <v>0.0208333333333333</v>
      </c>
    </row>
    <row r="10" customFormat="false" ht="15" hidden="false" customHeight="false" outlineLevel="0" collapsed="false">
      <c r="A10" s="5" t="s">
        <v>12</v>
      </c>
      <c r="B10" s="6" t="n">
        <v>49000</v>
      </c>
      <c r="C10" s="6" t="n">
        <v>51000</v>
      </c>
      <c r="D10" s="6" t="n">
        <v>52000</v>
      </c>
      <c r="E10" s="7" t="n">
        <f aca="false">IF(C10=0,"",(D10-C10)/C10)</f>
        <v>0.0196078431372549</v>
      </c>
    </row>
    <row r="11" customFormat="false" ht="15" hidden="false" customHeight="false" outlineLevel="0" collapsed="false">
      <c r="A11" s="5" t="s">
        <v>13</v>
      </c>
      <c r="B11" s="6" t="n">
        <v>75000</v>
      </c>
      <c r="C11" s="6" t="n">
        <v>77000</v>
      </c>
      <c r="D11" s="6" t="n">
        <v>79000</v>
      </c>
      <c r="E11" s="7" t="n">
        <f aca="false">IF(C11=0,"",(D11-C11)/C11)</f>
        <v>0.025974025974026</v>
      </c>
    </row>
    <row r="12" customFormat="false" ht="15" hidden="false" customHeight="false" outlineLevel="0" collapsed="false">
      <c r="A12" s="5" t="s">
        <v>14</v>
      </c>
      <c r="B12" s="8" t="n">
        <v>187600</v>
      </c>
      <c r="C12" s="8" t="n">
        <v>193200</v>
      </c>
      <c r="D12" s="8" t="n">
        <v>266600</v>
      </c>
      <c r="E12" s="7" t="n">
        <f aca="false">IF(C12=0,"",(D12-C12)/C12)</f>
        <v>0.37991718426501</v>
      </c>
    </row>
    <row r="13" customFormat="false" ht="15" hidden="false" customHeight="false" outlineLevel="0" collapsed="false">
      <c r="A13" s="5" t="s">
        <v>15</v>
      </c>
      <c r="B13" s="6" t="n">
        <v>192000</v>
      </c>
      <c r="C13" s="6" t="n">
        <v>195000</v>
      </c>
      <c r="D13" s="6" t="n">
        <v>198000</v>
      </c>
      <c r="E13" s="7" t="n">
        <f aca="false">IF(C13=0,"",(D13-C13)/C13)</f>
        <v>0.0153846153846154</v>
      </c>
    </row>
    <row r="14" customFormat="false" ht="15" hidden="false" customHeight="false" outlineLevel="0" collapsed="false">
      <c r="A14" s="9" t="s">
        <v>16</v>
      </c>
      <c r="B14" s="10" t="n">
        <f aca="false">SUM(B6:B13)</f>
        <v>1738600</v>
      </c>
      <c r="C14" s="10" t="n">
        <f aca="false">SUM(C6:C13)</f>
        <v>1784200</v>
      </c>
      <c r="D14" s="10" t="n">
        <f aca="false">SUM(D6:D13)</f>
        <v>1894000</v>
      </c>
      <c r="E14" s="11" t="n">
        <f aca="false">IF(C14=0,"",(D14-C14)/C14)</f>
        <v>0.061540186077794</v>
      </c>
    </row>
    <row r="15" customFormat="false" ht="15" hidden="false" customHeight="false" outlineLevel="0" collapsed="false">
      <c r="A15" s="9" t="s">
        <v>17</v>
      </c>
      <c r="B15" s="12" t="n">
        <f aca="false">B5-B14</f>
        <v>3451400</v>
      </c>
      <c r="C15" s="12" t="n">
        <f aca="false">C5-C14</f>
        <v>3535800</v>
      </c>
      <c r="D15" s="12" t="n">
        <f aca="false">D5-D14</f>
        <v>3559000</v>
      </c>
    </row>
    <row r="16" customFormat="false" ht="15" hidden="false" customHeight="false" outlineLevel="0" collapsed="false">
      <c r="A16" s="5" t="s">
        <v>18</v>
      </c>
      <c r="B16" s="6" t="n">
        <v>2740000</v>
      </c>
      <c r="C16" s="6" t="n">
        <v>2740000</v>
      </c>
      <c r="D16" s="6" t="n">
        <v>2740000</v>
      </c>
    </row>
    <row r="17" customFormat="false" ht="15" hidden="false" customHeight="false" outlineLevel="0" collapsed="false">
      <c r="A17" s="9" t="s">
        <v>19</v>
      </c>
      <c r="B17" s="13" t="n">
        <f aca="false">IF(B16=0,"",B15/B16)</f>
        <v>1.25963503649635</v>
      </c>
      <c r="C17" s="13" t="n">
        <f aca="false">IF(C16=0,"",C15/C16)</f>
        <v>1.29043795620438</v>
      </c>
      <c r="D17" s="13" t="n">
        <f aca="false">IF(D16=0,"",D15/D16)</f>
        <v>1.29890510948905</v>
      </c>
    </row>
    <row r="19" customFormat="false" ht="15" hidden="false" customHeight="false" outlineLevel="0" collapsed="false">
      <c r="A19" s="2" t="s">
        <v>20</v>
      </c>
    </row>
    <row r="21" customFormat="false" ht="15" hidden="false" customHeight="false" outlineLevel="0" collapsed="false">
      <c r="A21" s="9" t="s">
        <v>21</v>
      </c>
    </row>
    <row r="22" customFormat="false" ht="15" hidden="false" customHeight="false" outlineLevel="0" collapsed="false">
      <c r="A22" s="14" t="s">
        <v>22</v>
      </c>
    </row>
    <row r="23" customFormat="false" ht="15" hidden="false" customHeight="false" outlineLevel="0" collapsed="false">
      <c r="A23" s="14" t="s">
        <v>23</v>
      </c>
    </row>
    <row r="24" customFormat="false" ht="15" hidden="false" customHeight="false" outlineLevel="0" collapsed="false">
      <c r="A24" s="1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</row>
    <row r="5" customFormat="false" ht="15" hidden="false" customHeight="false" outlineLevel="0" collapsed="false">
      <c r="A5" s="5" t="s">
        <v>34</v>
      </c>
      <c r="B5" s="5" t="s">
        <v>7</v>
      </c>
      <c r="C5" s="5" t="s">
        <v>35</v>
      </c>
      <c r="D5" s="5" t="s">
        <v>36</v>
      </c>
      <c r="E5" s="5" t="s">
        <v>37</v>
      </c>
      <c r="F5" s="16" t="n">
        <v>0.98</v>
      </c>
      <c r="G5" s="5"/>
    </row>
    <row r="6" customFormat="false" ht="15" hidden="false" customHeight="false" outlineLevel="0" collapsed="false">
      <c r="A6" s="5" t="s">
        <v>38</v>
      </c>
      <c r="B6" s="5" t="s">
        <v>8</v>
      </c>
      <c r="C6" s="5" t="s">
        <v>35</v>
      </c>
      <c r="D6" s="5" t="s">
        <v>36</v>
      </c>
      <c r="E6" s="5" t="s">
        <v>39</v>
      </c>
      <c r="F6" s="16" t="n">
        <v>0.98</v>
      </c>
      <c r="G6" s="5"/>
    </row>
    <row r="7" customFormat="false" ht="15" hidden="false" customHeight="false" outlineLevel="0" collapsed="false">
      <c r="A7" s="5" t="s">
        <v>40</v>
      </c>
      <c r="B7" s="5" t="s">
        <v>9</v>
      </c>
      <c r="C7" s="5" t="s">
        <v>35</v>
      </c>
      <c r="D7" s="5" t="s">
        <v>36</v>
      </c>
      <c r="E7" s="5" t="s">
        <v>39</v>
      </c>
      <c r="F7" s="16" t="n">
        <v>0.98</v>
      </c>
      <c r="G7" s="5"/>
    </row>
    <row r="8" customFormat="false" ht="15" hidden="false" customHeight="false" outlineLevel="0" collapsed="false">
      <c r="A8" s="5" t="s">
        <v>41</v>
      </c>
      <c r="B8" s="5" t="s">
        <v>10</v>
      </c>
      <c r="C8" s="5" t="s">
        <v>35</v>
      </c>
      <c r="D8" s="5" t="s">
        <v>42</v>
      </c>
      <c r="E8" s="5" t="s">
        <v>39</v>
      </c>
      <c r="F8" s="16" t="n">
        <v>0.94</v>
      </c>
      <c r="G8" s="5"/>
    </row>
    <row r="9" customFormat="false" ht="15" hidden="false" customHeight="false" outlineLevel="0" collapsed="false">
      <c r="A9" s="5" t="s">
        <v>43</v>
      </c>
      <c r="B9" s="5" t="s">
        <v>11</v>
      </c>
      <c r="C9" s="5" t="s">
        <v>35</v>
      </c>
      <c r="D9" s="5" t="s">
        <v>36</v>
      </c>
      <c r="E9" s="5" t="s">
        <v>39</v>
      </c>
      <c r="F9" s="16" t="n">
        <v>0.98</v>
      </c>
      <c r="G9" s="5"/>
    </row>
    <row r="10" customFormat="false" ht="15" hidden="false" customHeight="false" outlineLevel="0" collapsed="false">
      <c r="A10" s="5" t="s">
        <v>44</v>
      </c>
      <c r="B10" s="5" t="s">
        <v>12</v>
      </c>
      <c r="C10" s="5" t="s">
        <v>35</v>
      </c>
      <c r="D10" s="5" t="s">
        <v>42</v>
      </c>
      <c r="E10" s="5" t="s">
        <v>39</v>
      </c>
      <c r="F10" s="16" t="n">
        <v>0.94</v>
      </c>
      <c r="G10" s="5"/>
    </row>
    <row r="11" customFormat="false" ht="15" hidden="false" customHeight="false" outlineLevel="0" collapsed="false">
      <c r="A11" s="5" t="s">
        <v>45</v>
      </c>
      <c r="B11" s="5" t="s">
        <v>13</v>
      </c>
      <c r="C11" s="5" t="s">
        <v>35</v>
      </c>
      <c r="D11" s="5" t="s">
        <v>36</v>
      </c>
      <c r="E11" s="5" t="s">
        <v>46</v>
      </c>
      <c r="F11" s="16" t="n">
        <v>0.9</v>
      </c>
      <c r="G11" s="5"/>
    </row>
    <row r="12" customFormat="false" ht="15" hidden="false" customHeight="false" outlineLevel="0" collapsed="false">
      <c r="A12" s="17" t="s">
        <v>47</v>
      </c>
      <c r="B12" s="17" t="s">
        <v>14</v>
      </c>
      <c r="C12" s="17" t="s">
        <v>48</v>
      </c>
      <c r="D12" s="17" t="s">
        <v>36</v>
      </c>
      <c r="E12" s="17" t="s">
        <v>49</v>
      </c>
      <c r="F12" s="18" t="n">
        <v>0.72</v>
      </c>
      <c r="G12" s="17" t="s">
        <v>50</v>
      </c>
    </row>
    <row r="13" customFormat="false" ht="15" hidden="false" customHeight="false" outlineLevel="0" collapsed="false">
      <c r="A13" s="17" t="s">
        <v>51</v>
      </c>
      <c r="B13" s="17" t="s">
        <v>15</v>
      </c>
      <c r="C13" s="17" t="s">
        <v>48</v>
      </c>
      <c r="D13" s="17" t="s">
        <v>36</v>
      </c>
      <c r="E13" s="17" t="s">
        <v>39</v>
      </c>
      <c r="F13" s="18" t="n">
        <v>0.88</v>
      </c>
      <c r="G13" s="17" t="s">
        <v>52</v>
      </c>
    </row>
    <row r="14" customFormat="false" ht="15" hidden="false" customHeight="false" outlineLevel="0" collapsed="false">
      <c r="A14" s="5" t="s">
        <v>53</v>
      </c>
      <c r="B14" s="5" t="s">
        <v>16</v>
      </c>
      <c r="C14" s="5" t="s">
        <v>54</v>
      </c>
      <c r="D14" s="5" t="s">
        <v>55</v>
      </c>
      <c r="E14" s="5" t="s">
        <v>56</v>
      </c>
      <c r="F14" s="16" t="n">
        <v>1</v>
      </c>
      <c r="G14" s="5"/>
    </row>
    <row r="15" customFormat="false" ht="15" hidden="false" customHeight="false" outlineLevel="0" collapsed="false">
      <c r="A15" s="17" t="s">
        <v>57</v>
      </c>
      <c r="B15" s="17" t="s">
        <v>17</v>
      </c>
      <c r="C15" s="17" t="s">
        <v>58</v>
      </c>
      <c r="D15" s="17" t="s">
        <v>55</v>
      </c>
      <c r="E15" s="17" t="s">
        <v>56</v>
      </c>
      <c r="F15" s="18" t="n">
        <v>1</v>
      </c>
      <c r="G15" s="17" t="s">
        <v>52</v>
      </c>
    </row>
    <row r="16" customFormat="false" ht="15" hidden="false" customHeight="false" outlineLevel="0" collapsed="false">
      <c r="A16" s="5" t="s">
        <v>59</v>
      </c>
      <c r="B16" s="5" t="s">
        <v>18</v>
      </c>
      <c r="C16" s="5" t="s">
        <v>35</v>
      </c>
      <c r="D16" s="5" t="s">
        <v>36</v>
      </c>
      <c r="E16" s="5" t="s">
        <v>60</v>
      </c>
      <c r="F16" s="16" t="n">
        <v>1</v>
      </c>
      <c r="G16" s="5"/>
    </row>
    <row r="17" customFormat="false" ht="15" hidden="false" customHeight="false" outlineLevel="0" collapsed="false">
      <c r="A17" s="17" t="s">
        <v>61</v>
      </c>
      <c r="B17" s="17" t="s">
        <v>19</v>
      </c>
      <c r="C17" s="17" t="s">
        <v>58</v>
      </c>
      <c r="D17" s="17" t="s">
        <v>55</v>
      </c>
      <c r="E17" s="17" t="s">
        <v>56</v>
      </c>
      <c r="F17" s="18" t="n">
        <v>1</v>
      </c>
      <c r="G17" s="17" t="s">
        <v>52</v>
      </c>
    </row>
    <row r="19" customFormat="false" ht="15" hidden="false" customHeight="false" outlineLevel="0" collapsed="false">
      <c r="A19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2026-08-09T17:14:27Z</dcterms:created>
  <dc:creator>openpyxl</dc:creator>
  <dc:description/>
  <dc:language>en-US</dc:language>
  <cp:lastModifiedBy/>
  <dcterms:modified xsi:type="dcterms:W3CDTF">2026-08-09T17:14:27Z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