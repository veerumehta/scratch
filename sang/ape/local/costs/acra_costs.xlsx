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dg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ates" sheetId="3" state="visible" r:id="rId3"/>
    <sheet xmlns:r="http://schemas.openxmlformats.org/officeDocument/2006/relationships" name="Foreca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category</t>
        </is>
      </c>
      <c r="C1" t="inlineStr">
        <is>
          <t>activity</t>
        </is>
      </c>
      <c r="D1" t="inlineStr">
        <is>
          <t>source_id</t>
        </is>
      </c>
      <c r="E1" t="inlineStr">
        <is>
          <t>model</t>
        </is>
      </c>
      <c r="F1" t="inlineStr">
        <is>
          <t>calls</t>
        </is>
      </c>
      <c r="G1" t="inlineStr">
        <is>
          <t>input_tokens</t>
        </is>
      </c>
      <c r="H1" t="inlineStr">
        <is>
          <t>output_tokens</t>
        </is>
      </c>
      <c r="I1" t="inlineStr">
        <is>
          <t>cached_tokens</t>
        </is>
      </c>
      <c r="J1" t="inlineStr">
        <is>
          <t>reasoning_tokens</t>
        </is>
      </c>
      <c r="K1" t="inlineStr">
        <is>
          <t>cost_usd</t>
        </is>
      </c>
      <c r="L1" t="inlineStr">
        <is>
          <t>cost_is_upper_bound</t>
        </is>
      </c>
      <c r="M1" t="inlineStr">
        <is>
          <t>minutes</t>
        </is>
      </c>
      <c r="N1" t="inlineStr">
        <is>
          <t>work_units</t>
        </is>
      </c>
      <c r="O1" t="inlineStr">
        <is>
          <t>unit</t>
        </is>
      </c>
      <c r="P1" t="inlineStr">
        <is>
          <t>outputs</t>
        </is>
      </c>
      <c r="Q1" t="inlineStr">
        <is>
          <t>output_kind</t>
        </is>
      </c>
      <c r="R1" t="inlineStr">
        <is>
          <t>doc_words</t>
        </is>
      </c>
      <c r="S1" t="inlineStr">
        <is>
          <t>status</t>
        </is>
      </c>
      <c r="T1" t="inlineStr">
        <is>
          <t>notes</t>
        </is>
      </c>
    </row>
    <row r="2">
      <c r="A2" t="inlineStr">
        <is>
          <t>2026-10-07</t>
        </is>
      </c>
      <c r="B2" t="inlineStr">
        <is>
          <t>extraction</t>
        </is>
      </c>
      <c r="C2" t="inlineStr">
        <is>
          <t>extract catalog</t>
        </is>
      </c>
      <c r="D2" t="inlineStr">
        <is>
          <t>60349ce3b6fa4db1890a01f91d78d73b</t>
        </is>
      </c>
      <c r="E2" t="inlineStr">
        <is>
          <t>flex_gpt-6-luna</t>
        </is>
      </c>
      <c r="F2" t="n">
        <v>30</v>
      </c>
      <c r="G2" t="n">
        <v>90</v>
      </c>
      <c r="H2" t="n">
        <v>43281</v>
      </c>
      <c r="I2" t="n">
        <v>0</v>
      </c>
      <c r="J2" t="n">
        <v>48771</v>
      </c>
      <c r="K2" t="n">
        <v>0.02770212499999999</v>
      </c>
      <c r="L2" t="b">
        <v>0</v>
      </c>
      <c r="M2" t="n">
        <v>3.8</v>
      </c>
      <c r="N2" t="n">
        <v>30</v>
      </c>
      <c r="O2" t="inlineStr">
        <is>
          <t>parts</t>
        </is>
      </c>
      <c r="P2" t="n">
        <v>471</v>
      </c>
      <c r="Q2" t="inlineStr">
        <is>
          <t>proposals</t>
        </is>
      </c>
      <c r="R2" t="n">
        <v>22021</v>
      </c>
      <c r="S2" t="inlineStr">
        <is>
          <t>succeeded</t>
        </is>
      </c>
      <c r="T2" t="inlineStr">
        <is>
          <t>acra-dscr-policy catalog; 0 parts failed</t>
        </is>
      </c>
    </row>
    <row r="3">
      <c r="A3" t="inlineStr">
        <is>
          <t>2026-10-08</t>
        </is>
      </c>
      <c r="B3" t="inlineStr">
        <is>
          <t>extraction</t>
        </is>
      </c>
      <c r="C3" t="inlineStr">
        <is>
          <t>extract jtbd</t>
        </is>
      </c>
      <c r="D3" t="inlineStr">
        <is>
          <t>6bd4c96b67714ceaa3e6497df2015348</t>
        </is>
      </c>
      <c r="E3" t="inlineStr">
        <is>
          <t>flex_gpt-6-luna</t>
        </is>
      </c>
      <c r="F3" t="n">
        <v>11</v>
      </c>
      <c r="G3" t="n">
        <v>33</v>
      </c>
      <c r="H3" t="n">
        <v>21406</v>
      </c>
      <c r="I3" t="n">
        <v>0</v>
      </c>
      <c r="J3" t="n">
        <v>22424</v>
      </c>
      <c r="K3" t="n">
        <v>0.0140454625</v>
      </c>
      <c r="L3" t="b">
        <v>0</v>
      </c>
      <c r="M3" t="n">
        <v>49.9</v>
      </c>
      <c r="N3" t="n">
        <v>11</v>
      </c>
      <c r="O3" t="inlineStr">
        <is>
          <t>parts</t>
        </is>
      </c>
      <c r="P3" t="n">
        <v>52</v>
      </c>
      <c r="Q3" t="inlineStr">
        <is>
          <t>proposals</t>
        </is>
      </c>
      <c r="R3" t="n">
        <v>10220</v>
      </c>
      <c r="S3" t="inlineStr">
        <is>
          <t>succeeded</t>
        </is>
      </c>
      <c r="T3" t="inlineStr">
        <is>
          <t>acra-dscr-policy acra-platinum; 1 parts failed</t>
        </is>
      </c>
    </row>
    <row r="4">
      <c r="A4" t="inlineStr">
        <is>
          <t>2026-10-09</t>
        </is>
      </c>
      <c r="B4" t="inlineStr">
        <is>
          <t>analysis</t>
        </is>
      </c>
      <c r="C4" t="inlineStr">
        <is>
          <t>review coverage</t>
        </is>
      </c>
      <c r="D4" t="inlineStr">
        <is>
          <t>coverage/coverage_report.json</t>
        </is>
      </c>
      <c r="E4" t="inlineStr"/>
      <c r="F4" t="n">
        <v>98</v>
      </c>
      <c r="G4" t="n">
        <v>100950</v>
      </c>
      <c r="H4" t="n">
        <v>6625</v>
      </c>
      <c r="K4" t="n">
        <v>0.0283</v>
      </c>
      <c r="L4" t="b">
        <v>0</v>
      </c>
      <c r="N4" t="n">
        <v>159</v>
      </c>
      <c r="O4" t="inlineStr">
        <is>
          <t>items</t>
        </is>
      </c>
      <c r="Q4" t="inlineStr"/>
      <c r="S4" t="inlineStr">
        <is>
          <t>done</t>
        </is>
      </c>
      <c r="T4" t="inlineStr"/>
    </row>
    <row r="5">
      <c r="A5" t="inlineStr">
        <is>
          <t>2026-10-09</t>
        </is>
      </c>
      <c r="B5" t="inlineStr">
        <is>
          <t>evaluation</t>
        </is>
      </c>
      <c r="C5" t="inlineStr">
        <is>
          <t>eval case_run</t>
        </is>
      </c>
      <c r="D5" t="inlineStr">
        <is>
          <t>4e78730b32174b24912c896a007a32e4</t>
        </is>
      </c>
      <c r="E5" t="inlineStr"/>
      <c r="F5" t="n">
        <v>26</v>
      </c>
      <c r="G5" t="n">
        <v>153928</v>
      </c>
      <c r="H5" t="n">
        <v>12059</v>
      </c>
      <c r="I5" t="n">
        <v>19712</v>
      </c>
      <c r="J5" t="n">
        <v>0</v>
      </c>
      <c r="K5" t="n">
        <v>0.2853165</v>
      </c>
      <c r="L5" t="b">
        <v>0</v>
      </c>
      <c r="M5" t="n">
        <v>1</v>
      </c>
      <c r="N5" t="n">
        <v>5</v>
      </c>
      <c r="O5" t="inlineStr">
        <is>
          <t>cases</t>
        </is>
      </c>
      <c r="P5" t="n">
        <v>5</v>
      </c>
      <c r="Q5" t="inlineStr">
        <is>
          <t>passed</t>
        </is>
      </c>
      <c r="S5" t="inlineStr">
        <is>
          <t>completed</t>
        </is>
      </c>
      <c r="T5" t="inlineStr">
        <is>
          <t>dscr 0.2.11 pack models 20261009_220210; pass rate 1.0</t>
        </is>
      </c>
    </row>
    <row r="6">
      <c r="A6" t="inlineStr">
        <is>
          <t>2026-10-09</t>
        </is>
      </c>
      <c r="B6" t="inlineStr">
        <is>
          <t>evaluation</t>
        </is>
      </c>
      <c r="C6" t="inlineStr">
        <is>
          <t>eval case_run</t>
        </is>
      </c>
      <c r="D6" t="inlineStr">
        <is>
          <t>f348038ac01e4f74acbfa4a01b8b0f65</t>
        </is>
      </c>
      <c r="E6" t="inlineStr"/>
      <c r="F6" t="n">
        <v>25</v>
      </c>
      <c r="G6" t="n">
        <v>147937</v>
      </c>
      <c r="H6" t="n">
        <v>13024</v>
      </c>
      <c r="I6" t="n">
        <v>17920</v>
      </c>
      <c r="J6" t="n">
        <v>0</v>
      </c>
      <c r="K6" t="n">
        <v>0.28484125</v>
      </c>
      <c r="L6" t="b">
        <v>0</v>
      </c>
      <c r="M6" t="n">
        <v>1</v>
      </c>
      <c r="N6" t="n">
        <v>5</v>
      </c>
      <c r="O6" t="inlineStr">
        <is>
          <t>cases</t>
        </is>
      </c>
      <c r="P6" t="n">
        <v>5</v>
      </c>
      <c r="Q6" t="inlineStr">
        <is>
          <t>passed</t>
        </is>
      </c>
      <c r="S6" t="inlineStr">
        <is>
          <t>completed</t>
        </is>
      </c>
      <c r="T6" t="inlineStr">
        <is>
          <t>dscr 0.2.11 pack models 20261009_220058; pass rate 1.0</t>
        </is>
      </c>
    </row>
    <row r="7">
      <c r="A7" t="inlineStr">
        <is>
          <t>2026-10-09</t>
        </is>
      </c>
      <c r="B7" t="inlineStr">
        <is>
          <t>evaluation</t>
        </is>
      </c>
      <c r="C7" t="inlineStr">
        <is>
          <t>eval case_run</t>
        </is>
      </c>
      <c r="D7" t="inlineStr">
        <is>
          <t>bc427e179204438a86a00ef7622d2d85</t>
        </is>
      </c>
      <c r="E7" t="inlineStr"/>
      <c r="F7" t="n">
        <v>29</v>
      </c>
      <c r="G7" t="n">
        <v>182612</v>
      </c>
      <c r="H7" t="n">
        <v>16208</v>
      </c>
      <c r="I7" t="n">
        <v>17920</v>
      </c>
      <c r="J7" t="n">
        <v>0</v>
      </c>
      <c r="K7" t="n">
        <v>0.352065</v>
      </c>
      <c r="L7" t="b">
        <v>0</v>
      </c>
      <c r="M7" t="n">
        <v>1.1</v>
      </c>
      <c r="N7" t="n">
        <v>5</v>
      </c>
      <c r="O7" t="inlineStr">
        <is>
          <t>cases</t>
        </is>
      </c>
      <c r="P7" t="n">
        <v>5</v>
      </c>
      <c r="Q7" t="inlineStr">
        <is>
          <t>passed</t>
        </is>
      </c>
      <c r="S7" t="inlineStr">
        <is>
          <t>completed</t>
        </is>
      </c>
      <c r="T7" t="inlineStr">
        <is>
          <t>dscr 0.2.11 pack models 20261009_215813; pass rate 1.0</t>
        </is>
      </c>
    </row>
    <row r="8">
      <c r="A8" t="inlineStr">
        <is>
          <t>2026-10-09</t>
        </is>
      </c>
      <c r="B8" t="inlineStr">
        <is>
          <t>evaluation</t>
        </is>
      </c>
      <c r="C8" t="inlineStr">
        <is>
          <t>eval case_run</t>
        </is>
      </c>
      <c r="D8" t="inlineStr">
        <is>
          <t>ef8895e45bde4740b34c41c27808192b</t>
        </is>
      </c>
      <c r="E8" t="inlineStr"/>
      <c r="F8" t="n">
        <v>25</v>
      </c>
      <c r="G8" t="n">
        <v>152860</v>
      </c>
      <c r="H8" t="n">
        <v>13301</v>
      </c>
      <c r="I8" t="n">
        <v>17920</v>
      </c>
      <c r="J8" t="n">
        <v>0</v>
      </c>
      <c r="K8" t="n">
        <v>0.2930725</v>
      </c>
      <c r="L8" t="b">
        <v>0</v>
      </c>
      <c r="M8" t="n">
        <v>1</v>
      </c>
      <c r="N8" t="n">
        <v>5</v>
      </c>
      <c r="O8" t="inlineStr">
        <is>
          <t>cases</t>
        </is>
      </c>
      <c r="P8" t="n">
        <v>5</v>
      </c>
      <c r="Q8" t="inlineStr">
        <is>
          <t>passed</t>
        </is>
      </c>
      <c r="S8" t="inlineStr">
        <is>
          <t>completed</t>
        </is>
      </c>
      <c r="T8" t="inlineStr">
        <is>
          <t>dscr 0.2.11 pack models 20261009_215712; pass rate 1.0</t>
        </is>
      </c>
    </row>
    <row r="9">
      <c r="A9" t="inlineStr">
        <is>
          <t>2026-10-09</t>
        </is>
      </c>
      <c r="B9" t="inlineStr">
        <is>
          <t>evaluation</t>
        </is>
      </c>
      <c r="C9" t="inlineStr">
        <is>
          <t>eval case_run</t>
        </is>
      </c>
      <c r="D9" t="inlineStr">
        <is>
          <t>37c6bccd49764b618d1f507bdfe1ceea</t>
        </is>
      </c>
      <c r="E9" t="inlineStr"/>
      <c r="F9" t="n">
        <v>25</v>
      </c>
      <c r="G9" t="n">
        <v>159479</v>
      </c>
      <c r="H9" t="n">
        <v>14854</v>
      </c>
      <c r="I9" t="n">
        <v>8960</v>
      </c>
      <c r="J9" t="n">
        <v>0</v>
      </c>
      <c r="K9" t="n">
        <v>0.31187375</v>
      </c>
      <c r="L9" t="b">
        <v>0</v>
      </c>
      <c r="M9" t="n">
        <v>1.3</v>
      </c>
      <c r="N9" t="n">
        <v>5</v>
      </c>
      <c r="O9" t="inlineStr">
        <is>
          <t>cases</t>
        </is>
      </c>
      <c r="P9" t="n">
        <v>5</v>
      </c>
      <c r="Q9" t="inlineStr">
        <is>
          <t>passed</t>
        </is>
      </c>
      <c r="S9" t="inlineStr">
        <is>
          <t>completed</t>
        </is>
      </c>
      <c r="T9" t="inlineStr">
        <is>
          <t>dscr 0.2.10 pack models 20261009_215238; pass rate 1.0</t>
        </is>
      </c>
    </row>
    <row r="10">
      <c r="A10" t="inlineStr">
        <is>
          <t>2026-10-09</t>
        </is>
      </c>
      <c r="B10" t="inlineStr">
        <is>
          <t>extraction</t>
        </is>
      </c>
      <c r="C10" t="inlineStr">
        <is>
          <t>extract jtbd</t>
        </is>
      </c>
      <c r="D10" t="inlineStr">
        <is>
          <t>230d154279954989a45fa50d487f4413</t>
        </is>
      </c>
      <c r="E10" t="inlineStr">
        <is>
          <t>flex_gpt-6-luna</t>
        </is>
      </c>
      <c r="F10" t="n">
        <v>11</v>
      </c>
      <c r="G10" t="n">
        <v>33</v>
      </c>
      <c r="H10" t="n">
        <v>26552</v>
      </c>
      <c r="I10" t="n">
        <v>19460</v>
      </c>
      <c r="J10" t="n">
        <v>22723</v>
      </c>
      <c r="K10" t="n">
        <v>0.0147555125</v>
      </c>
      <c r="L10" t="b">
        <v>0</v>
      </c>
      <c r="M10" t="n">
        <v>178.9</v>
      </c>
      <c r="N10" t="n">
        <v>13</v>
      </c>
      <c r="O10" t="inlineStr">
        <is>
          <t>parts</t>
        </is>
      </c>
      <c r="P10" t="n">
        <v>56</v>
      </c>
      <c r="Q10" t="inlineStr">
        <is>
          <t>proposals</t>
        </is>
      </c>
      <c r="R10" t="n">
        <v>11801</v>
      </c>
      <c r="S10" t="inlineStr">
        <is>
          <t>succeeded</t>
        </is>
      </c>
      <c r="T10" t="inlineStr">
        <is>
          <t>acra-dscr-policy acra-standard; 3 parts failed</t>
        </is>
      </c>
    </row>
    <row r="11">
      <c r="A11" t="inlineStr">
        <is>
          <t>2026-10-09</t>
        </is>
      </c>
      <c r="B11" t="inlineStr">
        <is>
          <t>extraction</t>
        </is>
      </c>
      <c r="C11" t="inlineStr">
        <is>
          <t>extract python</t>
        </is>
      </c>
      <c r="D11" t="inlineStr">
        <is>
          <t>fa8c83748a0f4cf4a5019c956badf224</t>
        </is>
      </c>
      <c r="E11" t="inlineStr">
        <is>
          <t>flex_gpt-6-luna</t>
        </is>
      </c>
      <c r="F11" t="n">
        <v>39</v>
      </c>
      <c r="G11" t="n">
        <v>11211</v>
      </c>
      <c r="H11" t="n">
        <v>17711</v>
      </c>
      <c r="I11" t="n">
        <v>5391</v>
      </c>
      <c r="J11" t="n">
        <v>51442</v>
      </c>
      <c r="K11" t="n">
        <v>0.01940163</v>
      </c>
      <c r="L11" t="b">
        <v>0</v>
      </c>
      <c r="M11" t="n">
        <v>199.4</v>
      </c>
      <c r="N11" t="n">
        <v>42</v>
      </c>
      <c r="O11" t="inlineStr">
        <is>
          <t>parts</t>
        </is>
      </c>
      <c r="P11" t="n">
        <v>25</v>
      </c>
      <c r="Q11" t="inlineStr">
        <is>
          <t>proposals</t>
        </is>
      </c>
      <c r="R11" t="n">
        <v>10220</v>
      </c>
      <c r="S11" t="inlineStr">
        <is>
          <t>succeeded</t>
        </is>
      </c>
      <c r="T11" t="inlineStr">
        <is>
          <t>acra-dscr-policy acra-platinum; 3 parts failed</t>
        </is>
      </c>
    </row>
    <row r="12">
      <c r="A12" t="inlineStr">
        <is>
          <t>2026-10-09</t>
        </is>
      </c>
      <c r="B12" t="inlineStr">
        <is>
          <t>extraction</t>
        </is>
      </c>
      <c r="C12" t="inlineStr">
        <is>
          <t>extract python</t>
        </is>
      </c>
      <c r="D12" t="inlineStr">
        <is>
          <t>53ed2625f6564984a0c3ea93e751dd9f</t>
        </is>
      </c>
      <c r="E12" t="inlineStr">
        <is>
          <t>flex_gpt-6-luna</t>
        </is>
      </c>
      <c r="F12" t="n">
        <v>48</v>
      </c>
      <c r="G12" t="n">
        <v>15034</v>
      </c>
      <c r="H12" t="n">
        <v>31473</v>
      </c>
      <c r="I12" t="n">
        <v>0</v>
      </c>
      <c r="J12" t="n">
        <v>65254</v>
      </c>
      <c r="K12" t="n">
        <v>0.0271902</v>
      </c>
      <c r="L12" t="b">
        <v>0</v>
      </c>
      <c r="M12" t="n">
        <v>28</v>
      </c>
      <c r="N12" t="n">
        <v>48</v>
      </c>
      <c r="O12" t="inlineStr">
        <is>
          <t>parts</t>
        </is>
      </c>
      <c r="P12" t="n">
        <v>26</v>
      </c>
      <c r="Q12" t="inlineStr">
        <is>
          <t>proposals</t>
        </is>
      </c>
      <c r="R12" t="n">
        <v>11801</v>
      </c>
      <c r="S12" t="inlineStr">
        <is>
          <t>succeeded</t>
        </is>
      </c>
      <c r="T12" t="inlineStr">
        <is>
          <t>acra-dscr-policy acra-standard; 0 parts failed</t>
        </is>
      </c>
    </row>
    <row r="13">
      <c r="A13" t="inlineStr">
        <is>
          <t>2026-10-10</t>
        </is>
      </c>
      <c r="B13" t="inlineStr">
        <is>
          <t>evaluation</t>
        </is>
      </c>
      <c r="C13" t="inlineStr">
        <is>
          <t>eval case_run</t>
        </is>
      </c>
      <c r="D13" t="inlineStr">
        <is>
          <t>babe3a7db2ed4075a90dc0fb63e7cf86</t>
        </is>
      </c>
      <c r="E13" t="inlineStr"/>
      <c r="F13" t="n">
        <v>28</v>
      </c>
      <c r="G13" t="n">
        <v>84</v>
      </c>
      <c r="H13" t="n">
        <v>13639</v>
      </c>
      <c r="I13" t="n">
        <v>14072</v>
      </c>
      <c r="J13" t="n">
        <v>10241</v>
      </c>
      <c r="K13" t="n">
        <v>0.0175411225</v>
      </c>
      <c r="L13" t="b">
        <v>0</v>
      </c>
      <c r="M13" t="n">
        <v>1.5</v>
      </c>
      <c r="N13" t="n">
        <v>5</v>
      </c>
      <c r="O13" t="inlineStr">
        <is>
          <t>cases</t>
        </is>
      </c>
      <c r="P13" t="n">
        <v>5</v>
      </c>
      <c r="Q13" t="inlineStr">
        <is>
          <t>passed</t>
        </is>
      </c>
      <c r="S13" t="inlineStr">
        <is>
          <t>completed</t>
        </is>
      </c>
      <c r="T13" t="inlineStr">
        <is>
          <t>dscr 0.2.14 pack models 20261010_012411; pass rate 1.0</t>
        </is>
      </c>
    </row>
    <row r="14">
      <c r="A14" t="inlineStr">
        <is>
          <t>2026-10-10</t>
        </is>
      </c>
      <c r="B14" t="inlineStr">
        <is>
          <t>evaluation</t>
        </is>
      </c>
      <c r="C14" t="inlineStr">
        <is>
          <t>eval case_run</t>
        </is>
      </c>
      <c r="D14" t="inlineStr">
        <is>
          <t>581504b89e0c42cdb9f36e1b29adbf00</t>
        </is>
      </c>
      <c r="E14" t="inlineStr"/>
      <c r="F14" t="n">
        <v>28</v>
      </c>
      <c r="G14" t="n">
        <v>84</v>
      </c>
      <c r="H14" t="n">
        <v>13622</v>
      </c>
      <c r="I14" t="n">
        <v>52373</v>
      </c>
      <c r="J14" t="n">
        <v>9315</v>
      </c>
      <c r="K14" t="n">
        <v>0.0154090025</v>
      </c>
      <c r="L14" t="b">
        <v>0</v>
      </c>
      <c r="M14" t="n">
        <v>32.8</v>
      </c>
      <c r="N14" t="n">
        <v>5</v>
      </c>
      <c r="O14" t="inlineStr">
        <is>
          <t>cases</t>
        </is>
      </c>
      <c r="P14" t="n">
        <v>5</v>
      </c>
      <c r="Q14" t="inlineStr">
        <is>
          <t>passed</t>
        </is>
      </c>
      <c r="S14" t="inlineStr">
        <is>
          <t>completed</t>
        </is>
      </c>
      <c r="T14" t="inlineStr">
        <is>
          <t>dscr 0.2.14 pack models 20261010_005119; pass rate 1.0</t>
        </is>
      </c>
    </row>
    <row r="15">
      <c r="A15" t="inlineStr">
        <is>
          <t>2026-10-10</t>
        </is>
      </c>
      <c r="B15" t="inlineStr">
        <is>
          <t>evaluation</t>
        </is>
      </c>
      <c r="C15" t="inlineStr">
        <is>
          <t>eval case_run</t>
        </is>
      </c>
      <c r="D15" t="inlineStr">
        <is>
          <t>a69386bedc1b41b08b96e7c0da73a0da</t>
        </is>
      </c>
      <c r="E15" t="inlineStr"/>
      <c r="F15" t="n">
        <v>38</v>
      </c>
      <c r="G15" t="n">
        <v>114</v>
      </c>
      <c r="H15" t="n">
        <v>20283</v>
      </c>
      <c r="I15" t="n">
        <v>0</v>
      </c>
      <c r="J15" t="n">
        <v>17285</v>
      </c>
      <c r="K15" t="n">
        <v>0.0251028875</v>
      </c>
      <c r="L15" t="b">
        <v>0</v>
      </c>
      <c r="M15" t="n">
        <v>1.8</v>
      </c>
      <c r="N15" t="n">
        <v>5</v>
      </c>
      <c r="O15" t="inlineStr">
        <is>
          <t>cases</t>
        </is>
      </c>
      <c r="P15" t="n">
        <v>5</v>
      </c>
      <c r="Q15" t="inlineStr">
        <is>
          <t>passed</t>
        </is>
      </c>
      <c r="S15" t="inlineStr">
        <is>
          <t>completed</t>
        </is>
      </c>
      <c r="T15" t="inlineStr">
        <is>
          <t>dscr 0.2.13 pack models 20261010_004702; pass rate 1.0</t>
        </is>
      </c>
    </row>
    <row r="16">
      <c r="A16" t="inlineStr">
        <is>
          <t>2026-10-10</t>
        </is>
      </c>
      <c r="B16" t="inlineStr">
        <is>
          <t>evaluation</t>
        </is>
      </c>
      <c r="C16" t="inlineStr">
        <is>
          <t>eval case_run</t>
        </is>
      </c>
      <c r="D16" t="inlineStr">
        <is>
          <t>de49a4e16ce340bf944f41c4a86d5736</t>
        </is>
      </c>
      <c r="E16" t="inlineStr"/>
      <c r="F16" t="n">
        <v>34</v>
      </c>
      <c r="G16" t="n">
        <v>102</v>
      </c>
      <c r="H16" t="n">
        <v>16828</v>
      </c>
      <c r="I16" t="n">
        <v>13345</v>
      </c>
      <c r="J16" t="n">
        <v>14924</v>
      </c>
      <c r="K16" t="n">
        <v>0.0217102625</v>
      </c>
      <c r="L16" t="b">
        <v>0</v>
      </c>
      <c r="M16" t="n">
        <v>2</v>
      </c>
      <c r="N16" t="n">
        <v>5</v>
      </c>
      <c r="O16" t="inlineStr">
        <is>
          <t>cases</t>
        </is>
      </c>
      <c r="P16" t="n">
        <v>5</v>
      </c>
      <c r="Q16" t="inlineStr">
        <is>
          <t>passed</t>
        </is>
      </c>
      <c r="S16" t="inlineStr">
        <is>
          <t>completed</t>
        </is>
      </c>
      <c r="T16" t="inlineStr">
        <is>
          <t>dscr 0.2.13 pack models 20261010_004501; pass rate 1.0</t>
        </is>
      </c>
    </row>
    <row r="17">
      <c r="A17" t="inlineStr">
        <is>
          <t>2026-10-10</t>
        </is>
      </c>
      <c r="B17" t="inlineStr">
        <is>
          <t>evaluation</t>
        </is>
      </c>
      <c r="C17" t="inlineStr">
        <is>
          <t>eval case_run</t>
        </is>
      </c>
      <c r="D17" t="inlineStr">
        <is>
          <t>4d4d0a4884514d39b93ad4097f65713a</t>
        </is>
      </c>
      <c r="E17" t="inlineStr"/>
      <c r="F17" t="n">
        <v>40</v>
      </c>
      <c r="G17" t="n">
        <v>120</v>
      </c>
      <c r="H17" t="n">
        <v>23092</v>
      </c>
      <c r="I17" t="n">
        <v>13807</v>
      </c>
      <c r="J17" t="n">
        <v>20086</v>
      </c>
      <c r="K17" t="n">
        <v>0.0269248475</v>
      </c>
      <c r="L17" t="b">
        <v>0</v>
      </c>
      <c r="M17" t="n">
        <v>2.2</v>
      </c>
      <c r="N17" t="n">
        <v>5</v>
      </c>
      <c r="O17" t="inlineStr">
        <is>
          <t>cases</t>
        </is>
      </c>
      <c r="P17" t="n">
        <v>5</v>
      </c>
      <c r="Q17" t="inlineStr">
        <is>
          <t>passed</t>
        </is>
      </c>
      <c r="S17" t="inlineStr">
        <is>
          <t>completed</t>
        </is>
      </c>
      <c r="T17" t="inlineStr">
        <is>
          <t>dscr 0.2.12 pack models 20261010_003729; pass rate 1.0</t>
        </is>
      </c>
    </row>
    <row r="18">
      <c r="A18" t="inlineStr">
        <is>
          <t>2026-10-10</t>
        </is>
      </c>
      <c r="B18" t="inlineStr">
        <is>
          <t>evaluation</t>
        </is>
      </c>
      <c r="C18" t="inlineStr">
        <is>
          <t>eval case_run</t>
        </is>
      </c>
      <c r="D18" t="inlineStr">
        <is>
          <t>49bb6f48c31a4a6e852bb39e6bc25cb4</t>
        </is>
      </c>
      <c r="E18" t="inlineStr"/>
      <c r="F18" t="n">
        <v>39</v>
      </c>
      <c r="G18" t="n">
        <v>117</v>
      </c>
      <c r="H18" t="n">
        <v>20431</v>
      </c>
      <c r="I18" t="n">
        <v>13185</v>
      </c>
      <c r="J18" t="n">
        <v>16963</v>
      </c>
      <c r="K18" t="n">
        <v>0.0251254625</v>
      </c>
      <c r="L18" t="b">
        <v>0</v>
      </c>
      <c r="M18" t="n">
        <v>2.2</v>
      </c>
      <c r="N18" t="n">
        <v>5</v>
      </c>
      <c r="O18" t="inlineStr">
        <is>
          <t>cases</t>
        </is>
      </c>
      <c r="P18" t="n">
        <v>5</v>
      </c>
      <c r="Q18" t="inlineStr">
        <is>
          <t>passed</t>
        </is>
      </c>
      <c r="S18" t="inlineStr">
        <is>
          <t>completed</t>
        </is>
      </c>
      <c r="T18" t="inlineStr">
        <is>
          <t>dscr 0.2.12 pack models 20261010_003507; pass rate 1.0</t>
        </is>
      </c>
    </row>
    <row r="19">
      <c r="A19" t="inlineStr">
        <is>
          <t>2026-10-11</t>
        </is>
      </c>
      <c r="B19" t="inlineStr">
        <is>
          <t>analysis</t>
        </is>
      </c>
      <c r="C19" t="inlineStr">
        <is>
          <t>review comparison</t>
        </is>
      </c>
      <c r="D19" t="inlineStr">
        <is>
          <t>coverage/review_20261011/compare/compare_sets.json</t>
        </is>
      </c>
      <c r="E19" t="inlineStr"/>
      <c r="F19" t="n">
        <v>448</v>
      </c>
      <c r="G19" t="n">
        <v>1094126</v>
      </c>
      <c r="H19" t="n">
        <v>100982</v>
      </c>
      <c r="K19" t="n">
        <v>0.2958</v>
      </c>
      <c r="L19" t="b">
        <v>0</v>
      </c>
      <c r="N19" t="n">
        <v>448</v>
      </c>
      <c r="O19" t="inlineStr">
        <is>
          <t>items</t>
        </is>
      </c>
      <c r="Q19" t="inlineStr"/>
      <c r="S19" t="inlineStr">
        <is>
          <t>done</t>
        </is>
      </c>
      <c r="T19" t="inlineStr"/>
    </row>
    <row r="20">
      <c r="A20" t="inlineStr">
        <is>
          <t>2026-10-11</t>
        </is>
      </c>
      <c r="B20" t="inlineStr">
        <is>
          <t>analysis</t>
        </is>
      </c>
      <c r="C20" t="inlineStr">
        <is>
          <t>review comparison</t>
        </is>
      </c>
      <c r="D20" t="inlineStr">
        <is>
          <t>coverage/review_20261011/compare_python_v2/compare_sets.json</t>
        </is>
      </c>
      <c r="E20" t="inlineStr"/>
      <c r="F20" t="n">
        <v>26</v>
      </c>
      <c r="G20" t="n">
        <v>62887</v>
      </c>
      <c r="H20" t="n">
        <v>6049</v>
      </c>
      <c r="K20" t="n">
        <v>0.0211</v>
      </c>
      <c r="L20" t="b">
        <v>0</v>
      </c>
      <c r="N20" t="n">
        <v>26</v>
      </c>
      <c r="O20" t="inlineStr">
        <is>
          <t>items</t>
        </is>
      </c>
      <c r="Q20" t="inlineStr"/>
      <c r="S20" t="inlineStr">
        <is>
          <t>done</t>
        </is>
      </c>
      <c r="T20" t="inlineStr"/>
    </row>
    <row r="21">
      <c r="A21" t="inlineStr">
        <is>
          <t>2026-10-11</t>
        </is>
      </c>
      <c r="B21" t="inlineStr">
        <is>
          <t>analysis</t>
        </is>
      </c>
      <c r="C21" t="inlineStr">
        <is>
          <t>review coverage</t>
        </is>
      </c>
      <c r="D21" t="inlineStr">
        <is>
          <t>coverage/review_20261011/acra/coverage_report.json</t>
        </is>
      </c>
      <c r="E21" t="inlineStr"/>
      <c r="F21" t="n">
        <v>213</v>
      </c>
      <c r="G21" t="n">
        <v>240279</v>
      </c>
      <c r="H21" t="n">
        <v>15959</v>
      </c>
      <c r="K21" t="n">
        <v>0.059</v>
      </c>
      <c r="L21" t="b">
        <v>0</v>
      </c>
      <c r="N21" t="n">
        <v>284</v>
      </c>
      <c r="O21" t="inlineStr">
        <is>
          <t>items</t>
        </is>
      </c>
      <c r="Q21" t="inlineStr"/>
      <c r="S21" t="inlineStr">
        <is>
          <t>done</t>
        </is>
      </c>
      <c r="T21" t="inlineStr"/>
    </row>
    <row r="22">
      <c r="A22" t="inlineStr">
        <is>
          <t>2026-10-11</t>
        </is>
      </c>
      <c r="B22" t="inlineStr">
        <is>
          <t>analysis</t>
        </is>
      </c>
      <c r="C22" t="inlineStr">
        <is>
          <t>review coverage</t>
        </is>
      </c>
      <c r="D22" t="inlineStr">
        <is>
          <t>coverage/review_20261011/ours/coverage_report.json</t>
        </is>
      </c>
      <c r="E22" t="inlineStr"/>
      <c r="F22" t="n">
        <v>103</v>
      </c>
      <c r="G22" t="n">
        <v>117875</v>
      </c>
      <c r="H22" t="n">
        <v>6947</v>
      </c>
      <c r="K22" t="n">
        <v>0.0304</v>
      </c>
      <c r="L22" t="b">
        <v>0</v>
      </c>
      <c r="N22" t="n">
        <v>170</v>
      </c>
      <c r="O22" t="inlineStr">
        <is>
          <t>items</t>
        </is>
      </c>
      <c r="Q22" t="inlineStr"/>
      <c r="S22" t="inlineStr">
        <is>
          <t>done</t>
        </is>
      </c>
      <c r="T22" t="inlineStr"/>
    </row>
    <row r="23">
      <c r="A23" t="inlineStr">
        <is>
          <t>2026-10-11</t>
        </is>
      </c>
      <c r="B23" t="inlineStr">
        <is>
          <t>extraction</t>
        </is>
      </c>
      <c r="C23" t="inlineStr">
        <is>
          <t>extract jtbd</t>
        </is>
      </c>
      <c r="D23" t="inlineStr">
        <is>
          <t>633a72d5d9ee438faeee6cc4d2531ccf</t>
        </is>
      </c>
      <c r="E23" t="inlineStr">
        <is>
          <t>flex_gpt-6-luna</t>
        </is>
      </c>
      <c r="F23" t="n">
        <v>17</v>
      </c>
      <c r="G23" t="n">
        <v>51</v>
      </c>
      <c r="H23" t="n">
        <v>35526</v>
      </c>
      <c r="I23" t="n">
        <v>2407</v>
      </c>
      <c r="J23" t="n">
        <v>32442</v>
      </c>
      <c r="K23" t="n">
        <v>0.0215955225</v>
      </c>
      <c r="L23" t="b">
        <v>0</v>
      </c>
      <c r="M23" t="n">
        <v>39.2</v>
      </c>
      <c r="N23" t="n">
        <v>16</v>
      </c>
      <c r="O23" t="inlineStr">
        <is>
          <t>parts</t>
        </is>
      </c>
      <c r="P23" t="n">
        <v>68</v>
      </c>
      <c r="Q23" t="inlineStr">
        <is>
          <t>proposals</t>
        </is>
      </c>
      <c r="R23" t="n">
        <v>11801</v>
      </c>
      <c r="S23" t="inlineStr">
        <is>
          <t>succeeded</t>
        </is>
      </c>
      <c r="T23" t="inlineStr">
        <is>
          <t>acra-dscr-policy acra-standard; 0 parts failed</t>
        </is>
      </c>
    </row>
    <row r="24">
      <c r="A24" t="inlineStr">
        <is>
          <t>2026-10-11</t>
        </is>
      </c>
      <c r="B24" t="inlineStr">
        <is>
          <t>extraction</t>
        </is>
      </c>
      <c r="C24" t="inlineStr">
        <is>
          <t>extract jtbd</t>
        </is>
      </c>
      <c r="D24" t="inlineStr">
        <is>
          <t>92c879283dd14cb9b137d6bd44e9f45e</t>
        </is>
      </c>
      <c r="E24" t="inlineStr">
        <is>
          <t>flex_gpt-6-luna</t>
        </is>
      </c>
      <c r="F24" t="n">
        <v>13</v>
      </c>
      <c r="G24" t="n">
        <v>39</v>
      </c>
      <c r="H24" t="n">
        <v>23159</v>
      </c>
      <c r="I24" t="n">
        <v>0</v>
      </c>
      <c r="J24" t="n">
        <v>27992</v>
      </c>
      <c r="K24" t="n">
        <v>0.0164271375</v>
      </c>
      <c r="L24" t="b">
        <v>0</v>
      </c>
      <c r="M24" t="n">
        <v>31</v>
      </c>
      <c r="N24" t="n">
        <v>12</v>
      </c>
      <c r="O24" t="inlineStr">
        <is>
          <t>parts</t>
        </is>
      </c>
      <c r="P24" t="n">
        <v>49</v>
      </c>
      <c r="Q24" t="inlineStr">
        <is>
          <t>proposals</t>
        </is>
      </c>
      <c r="R24" t="n">
        <v>10220</v>
      </c>
      <c r="S24" t="inlineStr">
        <is>
          <t>succeeded</t>
        </is>
      </c>
      <c r="T24" t="inlineStr">
        <is>
          <t>acra-dscr-policy acra-platinum; 0 parts failed</t>
        </is>
      </c>
    </row>
    <row r="25">
      <c r="A25" t="inlineStr">
        <is>
          <t>2026-10-11</t>
        </is>
      </c>
      <c r="B25" t="inlineStr">
        <is>
          <t>extraction</t>
        </is>
      </c>
      <c r="C25" t="inlineStr">
        <is>
          <t>extract jtbd</t>
        </is>
      </c>
      <c r="D25" t="inlineStr">
        <is>
          <t>b281ca4c19b04c1ebd7824a647801633</t>
        </is>
      </c>
      <c r="E25" t="inlineStr"/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b">
        <v>0</v>
      </c>
      <c r="M25" t="n">
        <v>11.1</v>
      </c>
      <c r="N25" t="n">
        <v>0</v>
      </c>
      <c r="O25" t="inlineStr">
        <is>
          <t>parts</t>
        </is>
      </c>
      <c r="P25" t="n">
        <v>0</v>
      </c>
      <c r="Q25" t="inlineStr">
        <is>
          <t>proposals</t>
        </is>
      </c>
      <c r="R25" t="n">
        <v>11801</v>
      </c>
      <c r="S25" t="inlineStr">
        <is>
          <t>failed</t>
        </is>
      </c>
      <c r="T25" t="inlineStr">
        <is>
          <t xml:space="preserve">acra-dscr-policy acra-standard; 0 parts failed; no progress since 2026-10-11T16:35:45.521297+00:00; its process stopped. Submit </t>
        </is>
      </c>
    </row>
    <row r="26">
      <c r="A26" t="inlineStr">
        <is>
          <t>2026-10-11</t>
        </is>
      </c>
      <c r="B26" t="inlineStr">
        <is>
          <t>extraction</t>
        </is>
      </c>
      <c r="C26" t="inlineStr">
        <is>
          <t>extract jtbd</t>
        </is>
      </c>
      <c r="D26" t="inlineStr">
        <is>
          <t>619604a2263042b28e0450cb4af078f4</t>
        </is>
      </c>
      <c r="E26" t="inlineStr"/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b">
        <v>0</v>
      </c>
      <c r="M26" t="n">
        <v>11.1</v>
      </c>
      <c r="N26" t="n">
        <v>0</v>
      </c>
      <c r="O26" t="inlineStr">
        <is>
          <t>parts</t>
        </is>
      </c>
      <c r="P26" t="n">
        <v>0</v>
      </c>
      <c r="Q26" t="inlineStr">
        <is>
          <t>proposals</t>
        </is>
      </c>
      <c r="R26" t="n">
        <v>10220</v>
      </c>
      <c r="S26" t="inlineStr">
        <is>
          <t>failed</t>
        </is>
      </c>
      <c r="T26" t="inlineStr">
        <is>
          <t xml:space="preserve">acra-dscr-policy acra-platinum; 0 parts failed; no progress since 2026-10-11T16:35:45.467365+00:00; its process stopped. Submit </t>
        </is>
      </c>
    </row>
    <row r="27">
      <c r="A27" t="inlineStr">
        <is>
          <t>2026-10-11</t>
        </is>
      </c>
      <c r="B27" t="inlineStr">
        <is>
          <t>extraction</t>
        </is>
      </c>
      <c r="C27" t="inlineStr">
        <is>
          <t>extract jtbd</t>
        </is>
      </c>
      <c r="D27" t="inlineStr">
        <is>
          <t>17364e502f8f42b8b26d2ea82acdb233</t>
        </is>
      </c>
      <c r="E27" t="inlineStr"/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b">
        <v>0</v>
      </c>
      <c r="M27" t="n">
        <v>5</v>
      </c>
      <c r="N27" t="n">
        <v>0</v>
      </c>
      <c r="O27" t="inlineStr">
        <is>
          <t>parts</t>
        </is>
      </c>
      <c r="P27" t="n">
        <v>0</v>
      </c>
      <c r="Q27" t="inlineStr">
        <is>
          <t>proposals</t>
        </is>
      </c>
      <c r="R27" t="n">
        <v>11801</v>
      </c>
      <c r="S27" t="inlineStr">
        <is>
          <t>failed</t>
        </is>
      </c>
      <c r="T27" t="inlineStr">
        <is>
          <t xml:space="preserve">acra-dscr-policy acra-standard; 0 parts failed; no progress since 2026-10-11T16:30:44.563331+00:00; its process stopped. Submit </t>
        </is>
      </c>
    </row>
    <row r="28">
      <c r="A28" t="inlineStr">
        <is>
          <t>2026-10-11</t>
        </is>
      </c>
      <c r="B28" t="inlineStr">
        <is>
          <t>extraction</t>
        </is>
      </c>
      <c r="C28" t="inlineStr">
        <is>
          <t>extract jtbd</t>
        </is>
      </c>
      <c r="D28" t="inlineStr">
        <is>
          <t>764d94864f3e40e29bd00e52fa59fdff</t>
        </is>
      </c>
      <c r="E28" t="inlineStr"/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b">
        <v>0</v>
      </c>
      <c r="M28" t="n">
        <v>5</v>
      </c>
      <c r="N28" t="n">
        <v>0</v>
      </c>
      <c r="O28" t="inlineStr">
        <is>
          <t>parts</t>
        </is>
      </c>
      <c r="P28" t="n">
        <v>0</v>
      </c>
      <c r="Q28" t="inlineStr">
        <is>
          <t>proposals</t>
        </is>
      </c>
      <c r="R28" t="n">
        <v>10220</v>
      </c>
      <c r="S28" t="inlineStr">
        <is>
          <t>failed</t>
        </is>
      </c>
      <c r="T28" t="inlineStr">
        <is>
          <t xml:space="preserve">acra-dscr-policy acra-platinum; 0 parts failed; no progress since 2026-10-11T16:30:44.500485+00:00; its process stopped. Submit </t>
        </is>
      </c>
    </row>
    <row r="29">
      <c r="A29" t="inlineStr">
        <is>
          <t>2026-10-11</t>
        </is>
      </c>
      <c r="B29" t="inlineStr">
        <is>
          <t>extraction</t>
        </is>
      </c>
      <c r="C29" t="inlineStr">
        <is>
          <t>extract python</t>
        </is>
      </c>
      <c r="D29" t="inlineStr">
        <is>
          <t>bedb0ad98d4f4db5beb318948150e187</t>
        </is>
      </c>
      <c r="E29" t="inlineStr">
        <is>
          <t>flex_gpt-6-luna</t>
        </is>
      </c>
      <c r="F29" t="n">
        <v>48</v>
      </c>
      <c r="G29" t="n">
        <v>144</v>
      </c>
      <c r="H29" t="n">
        <v>26003</v>
      </c>
      <c r="I29" t="n">
        <v>4529</v>
      </c>
      <c r="J29" t="n">
        <v>74984</v>
      </c>
      <c r="K29" t="n">
        <v>0.0315589075</v>
      </c>
      <c r="L29" t="b">
        <v>0</v>
      </c>
      <c r="M29" t="n">
        <v>74.5</v>
      </c>
      <c r="N29" t="n">
        <v>48</v>
      </c>
      <c r="O29" t="inlineStr">
        <is>
          <t>parts</t>
        </is>
      </c>
      <c r="P29" t="n">
        <v>25</v>
      </c>
      <c r="Q29" t="inlineStr">
        <is>
          <t>proposals</t>
        </is>
      </c>
      <c r="R29" t="n">
        <v>11801</v>
      </c>
      <c r="S29" t="inlineStr">
        <is>
          <t>succeeded</t>
        </is>
      </c>
      <c r="T29" t="inlineStr">
        <is>
          <t>acra-dscr-policy acra-standard; 1 parts failed</t>
        </is>
      </c>
    </row>
    <row r="30">
      <c r="A30" t="inlineStr">
        <is>
          <t>2026-10-11</t>
        </is>
      </c>
      <c r="B30" t="inlineStr">
        <is>
          <t>extraction</t>
        </is>
      </c>
      <c r="C30" t="inlineStr">
        <is>
          <t>extract python</t>
        </is>
      </c>
      <c r="D30" t="inlineStr">
        <is>
          <t>86577f56ecf643d09d192405462ea959</t>
        </is>
      </c>
      <c r="E30" t="inlineStr">
        <is>
          <t>flex_gpt-6-luna</t>
        </is>
      </c>
      <c r="F30" t="n">
        <v>42</v>
      </c>
      <c r="G30" t="n">
        <v>126</v>
      </c>
      <c r="H30" t="n">
        <v>14322</v>
      </c>
      <c r="I30" t="n">
        <v>2068</v>
      </c>
      <c r="J30" t="n">
        <v>54217</v>
      </c>
      <c r="K30" t="n">
        <v>0.02270839</v>
      </c>
      <c r="L30" t="b">
        <v>0</v>
      </c>
      <c r="M30" t="n">
        <v>55.3</v>
      </c>
      <c r="N30" t="n">
        <v>42</v>
      </c>
      <c r="O30" t="inlineStr">
        <is>
          <t>parts</t>
        </is>
      </c>
      <c r="P30" t="n">
        <v>25</v>
      </c>
      <c r="Q30" t="inlineStr">
        <is>
          <t>proposals</t>
        </is>
      </c>
      <c r="R30" t="n">
        <v>10220</v>
      </c>
      <c r="S30" t="inlineStr">
        <is>
          <t>succeeded</t>
        </is>
      </c>
      <c r="T30" t="inlineStr">
        <is>
          <t>acra-dscr-policy acra-platinum; 1 parts failed</t>
        </is>
      </c>
    </row>
    <row r="31">
      <c r="A31" t="inlineStr">
        <is>
          <t>2026-10-11</t>
        </is>
      </c>
      <c r="B31" t="inlineStr">
        <is>
          <t>extraction</t>
        </is>
      </c>
      <c r="C31" t="inlineStr">
        <is>
          <t>extract python</t>
        </is>
      </c>
      <c r="D31" t="inlineStr">
        <is>
          <t>6b4bd3745887438280887d32f5671e70</t>
        </is>
      </c>
      <c r="E31" t="inlineStr">
        <is>
          <t>flex_gpt-6-luna</t>
        </is>
      </c>
      <c r="F31" t="n">
        <v>42</v>
      </c>
      <c r="G31" t="n">
        <v>126</v>
      </c>
      <c r="H31" t="n">
        <v>15130</v>
      </c>
      <c r="I31" t="n">
        <v>0</v>
      </c>
      <c r="J31" t="n">
        <v>57183</v>
      </c>
      <c r="K31" t="n">
        <v>0.0237708</v>
      </c>
      <c r="L31" t="b">
        <v>0</v>
      </c>
      <c r="M31" t="n">
        <v>32.7</v>
      </c>
      <c r="N31" t="n">
        <v>42</v>
      </c>
      <c r="O31" t="inlineStr">
        <is>
          <t>parts</t>
        </is>
      </c>
      <c r="P31" t="n">
        <v>23</v>
      </c>
      <c r="Q31" t="inlineStr">
        <is>
          <t>proposals</t>
        </is>
      </c>
      <c r="R31" t="n">
        <v>10220</v>
      </c>
      <c r="S31" t="inlineStr">
        <is>
          <t>succeeded</t>
        </is>
      </c>
      <c r="T31" t="inlineStr">
        <is>
          <t>acra-dscr-policy acra-platinum; 2 parts failed</t>
        </is>
      </c>
    </row>
    <row r="32">
      <c r="A32" t="inlineStr">
        <is>
          <t>2026-10-11</t>
        </is>
      </c>
      <c r="B32" t="inlineStr">
        <is>
          <t>extraction</t>
        </is>
      </c>
      <c r="C32" t="inlineStr">
        <is>
          <t>extract python</t>
        </is>
      </c>
      <c r="D32" t="inlineStr">
        <is>
          <t>66449c2d0afe433785a75bc04c35fdc8</t>
        </is>
      </c>
      <c r="E32" t="inlineStr">
        <is>
          <t>flex_gpt-6-luna</t>
        </is>
      </c>
      <c r="F32" t="n">
        <v>48</v>
      </c>
      <c r="G32" t="n">
        <v>144</v>
      </c>
      <c r="H32" t="n">
        <v>29703</v>
      </c>
      <c r="I32" t="n">
        <v>0</v>
      </c>
      <c r="J32" t="n">
        <v>71777</v>
      </c>
      <c r="K32" t="n">
        <v>0.031942575</v>
      </c>
      <c r="L32" t="b">
        <v>0</v>
      </c>
      <c r="M32" t="n">
        <v>42.4</v>
      </c>
      <c r="N32" t="n">
        <v>48</v>
      </c>
      <c r="O32" t="inlineStr">
        <is>
          <t>parts</t>
        </is>
      </c>
      <c r="P32" t="n">
        <v>22</v>
      </c>
      <c r="Q32" t="inlineStr">
        <is>
          <t>proposals</t>
        </is>
      </c>
      <c r="R32" t="n">
        <v>11801</v>
      </c>
      <c r="S32" t="inlineStr">
        <is>
          <t>succeeded</t>
        </is>
      </c>
      <c r="T32" t="inlineStr">
        <is>
          <t>acra-dscr-policy acra-standard; 1 parts failed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activity</t>
        </is>
      </c>
      <c r="C1" t="inlineStr">
        <is>
          <t>rows</t>
        </is>
      </c>
      <c r="D1" t="inlineStr">
        <is>
          <t>cost_usd</t>
        </is>
      </c>
      <c r="E1" t="inlineStr">
        <is>
          <t>minutes</t>
        </is>
      </c>
    </row>
    <row r="2">
      <c r="A2" t="inlineStr">
        <is>
          <t>analysis</t>
        </is>
      </c>
      <c r="B2" t="inlineStr">
        <is>
          <t>review comparison</t>
        </is>
      </c>
      <c r="C2" t="n">
        <v>2</v>
      </c>
      <c r="D2" t="n">
        <v>0.3169</v>
      </c>
      <c r="E2" t="n">
        <v>0</v>
      </c>
    </row>
    <row r="3">
      <c r="A3" t="inlineStr">
        <is>
          <t>analysis</t>
        </is>
      </c>
      <c r="B3" t="inlineStr">
        <is>
          <t>review coverage</t>
        </is>
      </c>
      <c r="C3" t="n">
        <v>3</v>
      </c>
      <c r="D3" t="n">
        <v>0.1177</v>
      </c>
      <c r="E3" t="n">
        <v>0</v>
      </c>
    </row>
    <row r="4">
      <c r="A4" t="inlineStr">
        <is>
          <t>evaluation</t>
        </is>
      </c>
      <c r="B4" t="inlineStr">
        <is>
          <t>eval case_run</t>
        </is>
      </c>
      <c r="C4" t="n">
        <v>11</v>
      </c>
      <c r="D4" t="n">
        <v>1.659</v>
      </c>
      <c r="E4" t="n">
        <v>47.9</v>
      </c>
    </row>
    <row r="5">
      <c r="A5" t="inlineStr">
        <is>
          <t>extraction</t>
        </is>
      </c>
      <c r="B5" t="inlineStr">
        <is>
          <t>extract catalog</t>
        </is>
      </c>
      <c r="C5" t="n">
        <v>1</v>
      </c>
      <c r="D5" t="n">
        <v>0.0277</v>
      </c>
      <c r="E5" t="n">
        <v>3.8</v>
      </c>
    </row>
    <row r="6">
      <c r="A6" t="inlineStr">
        <is>
          <t>extraction</t>
        </is>
      </c>
      <c r="B6" t="inlineStr">
        <is>
          <t>extract jtbd</t>
        </is>
      </c>
      <c r="C6" t="n">
        <v>8</v>
      </c>
      <c r="D6" t="n">
        <v>0.0668</v>
      </c>
      <c r="E6" t="n">
        <v>331.2</v>
      </c>
    </row>
    <row r="7">
      <c r="A7" t="inlineStr">
        <is>
          <t>extraction</t>
        </is>
      </c>
      <c r="B7" t="inlineStr">
        <is>
          <t>extract python</t>
        </is>
      </c>
      <c r="C7" t="n">
        <v>6</v>
      </c>
      <c r="D7" t="n">
        <v>0.1566</v>
      </c>
      <c r="E7" t="n">
        <v>432.3</v>
      </c>
    </row>
    <row r="8">
      <c r="A8" t="inlineStr">
        <is>
          <t>all</t>
        </is>
      </c>
      <c r="B8" t="inlineStr"/>
      <c r="C8" t="n">
        <v>31</v>
      </c>
      <c r="D8" t="n">
        <v>2.3447</v>
      </c>
      <c r="E8" t="n">
        <v>815.2</v>
      </c>
    </row>
    <row r="10">
      <c r="A10" t="inlineStr">
        <is>
          <t>guideline document</t>
        </is>
      </c>
      <c r="B10" t="inlineStr">
        <is>
          <t>words</t>
        </is>
      </c>
    </row>
    <row r="11">
      <c r="A11" t="inlineStr">
        <is>
          <t>Acra_DSCR_Standard_Consolidated_Guidelines_v1_0.docx</t>
        </is>
      </c>
      <c r="B11" t="n">
        <v>11801</v>
      </c>
    </row>
    <row r="12">
      <c r="A12" t="inlineStr">
        <is>
          <t>Acra_DSCR_Platinum_Select_Consolidated_Guidelines_v1_0 1.docx</t>
        </is>
      </c>
      <c r="B12" t="n">
        <v>10220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</t>
        </is>
      </c>
      <c r="B1" t="inlineStr">
        <is>
          <t>rows</t>
        </is>
      </c>
      <c r="C1" t="inlineStr">
        <is>
          <t>cost_per_row</t>
        </is>
      </c>
      <c r="D1" t="inlineStr">
        <is>
          <t>minutes_per_row</t>
        </is>
      </c>
      <c r="E1" t="inlineStr">
        <is>
          <t>cost_per_unit</t>
        </is>
      </c>
      <c r="F1" t="inlineStr">
        <is>
          <t>unit</t>
        </is>
      </c>
      <c r="G1" t="inlineStr">
        <is>
          <t>cost_per_1k_words</t>
        </is>
      </c>
      <c r="H1" t="inlineStr">
        <is>
          <t>minutes_per_1k_words</t>
        </is>
      </c>
      <c r="I1" t="inlineStr">
        <is>
          <t>outputs_per_1k_words</t>
        </is>
      </c>
      <c r="J1" t="inlineStr">
        <is>
          <t>total_cost</t>
        </is>
      </c>
    </row>
    <row r="2">
      <c r="A2" t="inlineStr">
        <is>
          <t>eval case_run</t>
        </is>
      </c>
      <c r="B2" t="n">
        <v>11</v>
      </c>
      <c r="C2" t="n">
        <v>0.026925</v>
      </c>
      <c r="D2" t="n">
        <v>1.5</v>
      </c>
      <c r="E2" t="n">
        <v>0.005385</v>
      </c>
      <c r="F2" t="inlineStr">
        <is>
          <t>cases</t>
        </is>
      </c>
      <c r="J2" t="n">
        <v>1.659</v>
      </c>
    </row>
    <row r="3">
      <c r="A3" t="inlineStr">
        <is>
          <t>extract catalog</t>
        </is>
      </c>
      <c r="B3" t="n">
        <v>1</v>
      </c>
      <c r="C3" t="n">
        <v>0.027702</v>
      </c>
      <c r="D3" t="n">
        <v>3.8</v>
      </c>
      <c r="E3" t="n">
        <v>0.000923</v>
      </c>
      <c r="F3" t="inlineStr">
        <is>
          <t>parts</t>
        </is>
      </c>
      <c r="G3" t="n">
        <v>0.001258</v>
      </c>
      <c r="H3" t="n">
        <v>0.172563</v>
      </c>
      <c r="I3" t="n">
        <v>21.388674</v>
      </c>
      <c r="J3" t="n">
        <v>0.0277</v>
      </c>
    </row>
    <row r="4">
      <c r="A4" t="inlineStr">
        <is>
          <t>extract jtbd</t>
        </is>
      </c>
      <c r="B4" t="n">
        <v>4</v>
      </c>
      <c r="C4" t="n">
        <v>0.015591</v>
      </c>
      <c r="D4" t="n">
        <v>44.55</v>
      </c>
      <c r="E4" t="n">
        <v>0.001313</v>
      </c>
      <c r="F4" t="inlineStr">
        <is>
          <t>parts</t>
        </is>
      </c>
      <c r="G4" t="n">
        <v>0.001491</v>
      </c>
      <c r="H4" t="n">
        <v>4.102168</v>
      </c>
      <c r="I4" t="n">
        <v>4.941292</v>
      </c>
      <c r="J4" t="n">
        <v>0.0668</v>
      </c>
    </row>
    <row r="5">
      <c r="A5" t="inlineStr">
        <is>
          <t>extract python</t>
        </is>
      </c>
      <c r="B5" t="n">
        <v>6</v>
      </c>
      <c r="C5" t="n">
        <v>0.02548</v>
      </c>
      <c r="D5" t="n">
        <v>48.85</v>
      </c>
      <c r="E5" t="n">
        <v>0.000566</v>
      </c>
      <c r="F5" t="inlineStr">
        <is>
          <t>parts</t>
        </is>
      </c>
      <c r="G5" t="n">
        <v>0.002315</v>
      </c>
      <c r="H5" t="n">
        <v>4.501937</v>
      </c>
      <c r="I5" t="n">
        <v>2.226846</v>
      </c>
      <c r="J5" t="n">
        <v>0.1566</v>
      </c>
    </row>
    <row r="6">
      <c r="A6" t="inlineStr">
        <is>
          <t>review comparison</t>
        </is>
      </c>
      <c r="B6" t="n">
        <v>2</v>
      </c>
      <c r="C6" t="n">
        <v>0.15845</v>
      </c>
      <c r="E6" t="n">
        <v>0.000736</v>
      </c>
      <c r="F6" t="inlineStr">
        <is>
          <t>items</t>
        </is>
      </c>
      <c r="J6" t="n">
        <v>0.3169</v>
      </c>
    </row>
    <row r="7">
      <c r="A7" t="inlineStr">
        <is>
          <t>review coverage</t>
        </is>
      </c>
      <c r="B7" t="n">
        <v>3</v>
      </c>
      <c r="C7" t="n">
        <v>0.0304</v>
      </c>
      <c r="E7" t="n">
        <v>0.000179</v>
      </c>
      <c r="F7" t="inlineStr">
        <is>
          <t>items</t>
        </is>
      </c>
      <c r="J7" t="n">
        <v>0.1177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guideline words (all documents)</t>
        </is>
      </c>
      <c r="B2" t="n">
        <v>22021</v>
      </c>
      <c r="C2" t="inlineStr">
        <is>
          <t>the Acra pair, as a default</t>
        </is>
      </c>
    </row>
    <row r="3">
      <c r="A3" t="inlineStr">
        <is>
          <t>guideline documents (programs)</t>
        </is>
      </c>
      <c r="B3" t="n">
        <v>2</v>
      </c>
      <c r="C3" t="inlineStr"/>
    </row>
    <row r="4">
      <c r="A4" t="inlineStr">
        <is>
          <t>extraction attempts per document per representation</t>
        </is>
      </c>
      <c r="B4" t="n">
        <v>2</v>
      </c>
      <c r="C4" t="inlineStr">
        <is>
          <t>one retry when a part fails</t>
        </is>
      </c>
    </row>
    <row r="5">
      <c r="A5" t="inlineStr">
        <is>
          <t>eval cases</t>
        </is>
      </c>
      <c r="B5" t="n">
        <v>5</v>
      </c>
      <c r="C5" t="inlineStr">
        <is>
          <t>Acra gold set size today</t>
        </is>
      </c>
    </row>
    <row r="6">
      <c r="A6" t="inlineStr">
        <is>
          <t>eval iterations</t>
        </is>
      </c>
      <c r="B6" t="n">
        <v>10</v>
      </c>
      <c r="C6" t="inlineStr">
        <is>
          <t>experiments while tuning the pack (11 so far for Acra)</t>
        </is>
      </c>
    </row>
    <row r="7">
      <c r="A7" t="inlineStr">
        <is>
          <t>review items (jobs and rules compared)</t>
        </is>
      </c>
      <c r="B7" t="n">
        <v>1000</v>
      </c>
      <c r="C7" t="inlineStr">
        <is>
          <t>this review compared about 1000</t>
        </is>
      </c>
    </row>
    <row r="9">
      <c r="A9" t="inlineStr">
        <is>
          <t>forecast</t>
        </is>
      </c>
      <c r="B9" t="inlineStr">
        <is>
          <t>cost_usd</t>
        </is>
      </c>
      <c r="C9" t="inlineStr">
        <is>
          <t>minutes (flex tier; runs in parallel pairs)</t>
        </is>
      </c>
    </row>
    <row r="10">
      <c r="A10" t="inlineStr">
        <is>
          <t>extract jtbd</t>
        </is>
      </c>
      <c r="B10">
        <f>$B$2/1000*Rates!$G$4*$B$4</f>
        <v/>
      </c>
      <c r="C10">
        <f>$B$2/1000*Rates!$H$4*$B$4/$B$3</f>
        <v/>
      </c>
    </row>
    <row r="11">
      <c r="A11" t="inlineStr">
        <is>
          <t>extract python</t>
        </is>
      </c>
      <c r="B11">
        <f>$B$2/1000*Rates!$G$5*$B$4</f>
        <v/>
      </c>
      <c r="C11">
        <f>$B$2/1000*Rates!$H$5*$B$4/$B$3</f>
        <v/>
      </c>
    </row>
    <row r="12">
      <c r="A12" t="inlineStr">
        <is>
          <t>extract catalog</t>
        </is>
      </c>
      <c r="B12">
        <f>$B$2/1000*Rates!$G$3*1</f>
        <v/>
      </c>
      <c r="C12">
        <f>$B$2/1000*Rates!$H$3*1/$B$3</f>
        <v/>
      </c>
    </row>
    <row r="13">
      <c r="A13" t="inlineStr">
        <is>
          <t>evaluation</t>
        </is>
      </c>
      <c r="B13">
        <f>$B$6*$B$5*Rates!$E$2</f>
        <v/>
      </c>
      <c r="C13">
        <f>$B$6*Rates!$D$2</f>
        <v/>
      </c>
    </row>
    <row r="14">
      <c r="A14" t="inlineStr">
        <is>
          <t>review (coverage + comparisons)</t>
        </is>
      </c>
      <c r="B14">
        <f>$B$7*AVERAGE(Rates!$E$7,Rates!$E$6)</f>
        <v/>
      </c>
      <c r="C14" t="inlineStr"/>
    </row>
    <row r="15">
      <c r="A15" t="inlineStr">
        <is>
          <t>total model cost</t>
        </is>
      </c>
      <c r="B15">
        <f>SUM(B10:B14)</f>
        <v/>
      </c>
      <c r="C15">
        <f>SUM(C10:C14)</f>
        <v/>
      </c>
    </row>
    <row r="17">
      <c r="A17" t="inlineStr">
        <is>
          <t>Not in this forecast: agent sessions (Claude Code) and people's hours; add them to acra_costs_manual.csv to bring them into Rates.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2026-10-11T21:15:18Z</dcterms:created>
  <dcterms:modified xmlns:dcterms="http://purl.org/dc/terms/" xmlns:xsi="http://www.w3.org/2001/XMLSchema-instance" xsi:type="dcterms:W3CDTF">2026-10-11T21:15:18Z</dcterms:modified>
</cp:coreProperties>
</file>