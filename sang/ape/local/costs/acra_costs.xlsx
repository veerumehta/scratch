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dger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Rates" sheetId="3" state="visible" r:id="rId3"/>
    <sheet xmlns:r="http://schemas.openxmlformats.org/officeDocument/2006/relationships" name="Forecas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category</t>
        </is>
      </c>
      <c r="C1" t="inlineStr">
        <is>
          <t>activity</t>
        </is>
      </c>
      <c r="D1" t="inlineStr">
        <is>
          <t>source_id</t>
        </is>
      </c>
      <c r="E1" t="inlineStr">
        <is>
          <t>model</t>
        </is>
      </c>
      <c r="F1" t="inlineStr">
        <is>
          <t>calls</t>
        </is>
      </c>
      <c r="G1" t="inlineStr">
        <is>
          <t>input_tokens</t>
        </is>
      </c>
      <c r="H1" t="inlineStr">
        <is>
          <t>output_tokens</t>
        </is>
      </c>
      <c r="I1" t="inlineStr">
        <is>
          <t>cached_tokens</t>
        </is>
      </c>
      <c r="J1" t="inlineStr">
        <is>
          <t>reasoning_tokens</t>
        </is>
      </c>
      <c r="K1" t="inlineStr">
        <is>
          <t>cost_usd</t>
        </is>
      </c>
      <c r="L1" t="inlineStr">
        <is>
          <t>cost_is_upper_bound</t>
        </is>
      </c>
      <c r="M1" t="inlineStr">
        <is>
          <t>minutes</t>
        </is>
      </c>
      <c r="N1" t="inlineStr">
        <is>
          <t>work_units</t>
        </is>
      </c>
      <c r="O1" t="inlineStr">
        <is>
          <t>unit</t>
        </is>
      </c>
      <c r="P1" t="inlineStr">
        <is>
          <t>outputs</t>
        </is>
      </c>
      <c r="Q1" t="inlineStr">
        <is>
          <t>output_kind</t>
        </is>
      </c>
      <c r="R1" t="inlineStr">
        <is>
          <t>doc_words</t>
        </is>
      </c>
      <c r="S1" t="inlineStr">
        <is>
          <t>status</t>
        </is>
      </c>
      <c r="T1" t="inlineStr">
        <is>
          <t>notes</t>
        </is>
      </c>
    </row>
    <row r="2">
      <c r="A2" t="inlineStr">
        <is>
          <t>2026-08-23</t>
        </is>
      </c>
      <c r="B2" t="inlineStr">
        <is>
          <t>agent session</t>
        </is>
      </c>
      <c r="C2" t="inlineStr">
        <is>
          <t>agent interactive</t>
        </is>
      </c>
      <c r="D2" t="inlineStr">
        <is>
          <t>-Users-sangit-src-japes/49cd3433-1bce-43e6-95e1-9024daf33290</t>
        </is>
      </c>
      <c r="E2" t="inlineStr">
        <is>
          <t>claude-opus-5=5074.54</t>
        </is>
      </c>
      <c r="K2" t="n">
        <v>986.087</v>
      </c>
      <c r="N2" t="n">
        <v>152</v>
      </c>
      <c r="O2" t="inlineStr">
        <is>
          <t>turns</t>
        </is>
      </c>
      <c r="S2" t="inlineStr">
        <is>
          <t>done</t>
        </is>
      </c>
      <c r="T2" t="inlineStr">
        <is>
          <t>whole session $5077.8934 over 1203 turns (ceiling); 2026-08-23T08:15 to 2026-09-22T22:12</t>
        </is>
      </c>
    </row>
    <row r="3">
      <c r="A3" t="inlineStr">
        <is>
          <t>2026-09-12</t>
        </is>
      </c>
      <c r="B3" t="inlineStr">
        <is>
          <t>agent session</t>
        </is>
      </c>
      <c r="C3" t="inlineStr">
        <is>
          <t>agent headless</t>
        </is>
      </c>
      <c r="D3" t="inlineStr">
        <is>
          <t>-Users-sangit-src-japes/1033e1fa-7943-4c72-92d2-bd5d386caf87</t>
        </is>
      </c>
      <c r="E3" t="inlineStr">
        <is>
          <t>claude-opus-5=2.42</t>
        </is>
      </c>
      <c r="K3" t="n">
        <v>2.4219</v>
      </c>
      <c r="N3" t="n">
        <v>1</v>
      </c>
      <c r="O3" t="inlineStr">
        <is>
          <t>turns</t>
        </is>
      </c>
      <c r="S3" t="inlineStr">
        <is>
          <t>done</t>
        </is>
      </c>
      <c r="T3" t="inlineStr">
        <is>
          <t>whole session $2.4219 over 2 turns (ceiling); 2026-09-12T04:11 to 2026-09-12T04:18</t>
        </is>
      </c>
    </row>
    <row r="4">
      <c r="A4" t="inlineStr">
        <is>
          <t>2026-09-16</t>
        </is>
      </c>
      <c r="B4" t="inlineStr">
        <is>
          <t>agent session</t>
        </is>
      </c>
      <c r="C4" t="inlineStr">
        <is>
          <t>agent headless</t>
        </is>
      </c>
      <c r="D4" t="inlineStr">
        <is>
          <t>-Users-sangit-src-japes/c26d12eb-3e9c-497f-a2a7-5d37f202e5f5</t>
        </is>
      </c>
      <c r="E4" t="inlineStr">
        <is>
          <t>claude-opus-5=3.36</t>
        </is>
      </c>
      <c r="K4" t="n">
        <v>3.3632</v>
      </c>
      <c r="N4" t="n">
        <v>1</v>
      </c>
      <c r="O4" t="inlineStr">
        <is>
          <t>turns</t>
        </is>
      </c>
      <c r="S4" t="inlineStr">
        <is>
          <t>done</t>
        </is>
      </c>
      <c r="T4" t="inlineStr">
        <is>
          <t>whole session $3.3632 over 1 turns (ceiling); 2026-09-16T07:29 to 2026-09-16T07:37</t>
        </is>
      </c>
    </row>
    <row r="5">
      <c r="A5" t="inlineStr">
        <is>
          <t>2026-09-16</t>
        </is>
      </c>
      <c r="B5" t="inlineStr">
        <is>
          <t>agent session</t>
        </is>
      </c>
      <c r="C5" t="inlineStr">
        <is>
          <t>agent headless</t>
        </is>
      </c>
      <c r="D5" t="inlineStr">
        <is>
          <t>-Users-sangit-src-japes/ca67e12d-297b-4a3e-b2ab-0e6afb5b86f2</t>
        </is>
      </c>
      <c r="E5" t="inlineStr">
        <is>
          <t>claude-opus-5=3.80</t>
        </is>
      </c>
      <c r="K5" t="n">
        <v>3.8</v>
      </c>
      <c r="N5" t="n">
        <v>1</v>
      </c>
      <c r="O5" t="inlineStr">
        <is>
          <t>turns</t>
        </is>
      </c>
      <c r="S5" t="inlineStr">
        <is>
          <t>done</t>
        </is>
      </c>
      <c r="T5" t="inlineStr">
        <is>
          <t>whole session $3.8 over 1 turns (ceiling); 2026-09-16T23:16 to 2026-09-16T23:31</t>
        </is>
      </c>
    </row>
    <row r="6">
      <c r="A6" t="inlineStr">
        <is>
          <t>2026-09-17</t>
        </is>
      </c>
      <c r="B6" t="inlineStr">
        <is>
          <t>agent session</t>
        </is>
      </c>
      <c r="C6" t="inlineStr">
        <is>
          <t>agent headless</t>
        </is>
      </c>
      <c r="D6" t="inlineStr">
        <is>
          <t>-Users-sangit-src-japes/0ccf0941-68a4-4e98-97e2-31f52356cf07</t>
        </is>
      </c>
      <c r="E6" t="inlineStr">
        <is>
          <t>claude-opus-5=1.80</t>
        </is>
      </c>
      <c r="K6" t="n">
        <v>1.7963</v>
      </c>
      <c r="N6" t="n">
        <v>1</v>
      </c>
      <c r="O6" t="inlineStr">
        <is>
          <t>turns</t>
        </is>
      </c>
      <c r="S6" t="inlineStr">
        <is>
          <t>done</t>
        </is>
      </c>
      <c r="T6" t="inlineStr">
        <is>
          <t>whole session $1.7963 over 1 turns (ceiling); 2026-09-17T06:45 to 2026-09-17T06:49</t>
        </is>
      </c>
    </row>
    <row r="7">
      <c r="A7" t="inlineStr">
        <is>
          <t>2026-09-17</t>
        </is>
      </c>
      <c r="B7" t="inlineStr">
        <is>
          <t>agent session</t>
        </is>
      </c>
      <c r="C7" t="inlineStr">
        <is>
          <t>agent headless</t>
        </is>
      </c>
      <c r="D7" t="inlineStr">
        <is>
          <t>-Users-sangit-src-japes/bb8f25fc-fa69-4946-aa6f-f443a5a42404</t>
        </is>
      </c>
      <c r="E7" t="inlineStr">
        <is>
          <t>claude-opus-5=1.73</t>
        </is>
      </c>
      <c r="K7" t="n">
        <v>1.7268</v>
      </c>
      <c r="N7" t="n">
        <v>1</v>
      </c>
      <c r="O7" t="inlineStr">
        <is>
          <t>turns</t>
        </is>
      </c>
      <c r="S7" t="inlineStr">
        <is>
          <t>done</t>
        </is>
      </c>
      <c r="T7" t="inlineStr">
        <is>
          <t>whole session $1.7268 over 1 turns (ceiling); 2026-09-17T15:28 to 2026-09-17T15:35</t>
        </is>
      </c>
    </row>
    <row r="8">
      <c r="A8" t="inlineStr">
        <is>
          <t>2026-09-21</t>
        </is>
      </c>
      <c r="B8" t="inlineStr">
        <is>
          <t>agent session</t>
        </is>
      </c>
      <c r="C8" t="inlineStr">
        <is>
          <t>agent headless</t>
        </is>
      </c>
      <c r="D8" t="inlineStr">
        <is>
          <t>-Users-sangit-src-japes/f8fd8de8-d12a-4e6c-9ad6-3b8bd3337948</t>
        </is>
      </c>
      <c r="E8" t="inlineStr">
        <is>
          <t>claude-opus-5=1.26</t>
        </is>
      </c>
      <c r="K8" t="n">
        <v>1.2607</v>
      </c>
      <c r="N8" t="n">
        <v>1</v>
      </c>
      <c r="O8" t="inlineStr">
        <is>
          <t>turns</t>
        </is>
      </c>
      <c r="S8" t="inlineStr">
        <is>
          <t>done</t>
        </is>
      </c>
      <c r="T8" t="inlineStr">
        <is>
          <t>whole session $1.2607 over 1 turns (ceiling); 2026-09-21T22:22 to 2026-09-21T22:26</t>
        </is>
      </c>
    </row>
    <row r="9">
      <c r="A9" t="inlineStr">
        <is>
          <t>2026-09-21</t>
        </is>
      </c>
      <c r="B9" t="inlineStr">
        <is>
          <t>agent session</t>
        </is>
      </c>
      <c r="C9" t="inlineStr">
        <is>
          <t>agent headless</t>
        </is>
      </c>
      <c r="D9" t="inlineStr">
        <is>
          <t>-Users-sangit-src-japes/fbffb265-aafc-4646-99c1-aedf3a4e27b4</t>
        </is>
      </c>
      <c r="E9" t="inlineStr">
        <is>
          <t>claude-opus-5=0.99</t>
        </is>
      </c>
      <c r="K9" t="n">
        <v>0.9851</v>
      </c>
      <c r="N9" t="n">
        <v>1</v>
      </c>
      <c r="O9" t="inlineStr">
        <is>
          <t>turns</t>
        </is>
      </c>
      <c r="S9" t="inlineStr">
        <is>
          <t>done</t>
        </is>
      </c>
      <c r="T9" t="inlineStr">
        <is>
          <t>whole session $0.9851 over 1 turns (ceiling); 2026-09-21T22:34 to 2026-09-21T22:37</t>
        </is>
      </c>
    </row>
    <row r="10">
      <c r="A10" t="inlineStr">
        <is>
          <t>2026-09-21</t>
        </is>
      </c>
      <c r="B10" t="inlineStr">
        <is>
          <t>agent session</t>
        </is>
      </c>
      <c r="C10" t="inlineStr">
        <is>
          <t>agent headless</t>
        </is>
      </c>
      <c r="D10" t="inlineStr">
        <is>
          <t>-Users-sangit-src-japes/71cf9a58-5f37-4dac-b605-7cd52c86a659</t>
        </is>
      </c>
      <c r="E10" t="inlineStr">
        <is>
          <t>claude-opus-5=1.24</t>
        </is>
      </c>
      <c r="K10" t="n">
        <v>1.2369</v>
      </c>
      <c r="N10" t="n">
        <v>1</v>
      </c>
      <c r="O10" t="inlineStr">
        <is>
          <t>turns</t>
        </is>
      </c>
      <c r="S10" t="inlineStr">
        <is>
          <t>done</t>
        </is>
      </c>
      <c r="T10" t="inlineStr">
        <is>
          <t>whole session $1.2369 over 1 turns (ceiling); 2026-09-21T22:47 to 2026-09-21T22:51</t>
        </is>
      </c>
    </row>
    <row r="11">
      <c r="A11" t="inlineStr">
        <is>
          <t>2026-09-21</t>
        </is>
      </c>
      <c r="B11" t="inlineStr">
        <is>
          <t>agent session</t>
        </is>
      </c>
      <c r="C11" t="inlineStr">
        <is>
          <t>agent headless</t>
        </is>
      </c>
      <c r="D11" t="inlineStr">
        <is>
          <t>-Users-sangit-src-japes/fe4af723-36b9-4be2-bc72-9e9a4ece6928</t>
        </is>
      </c>
      <c r="E11" t="inlineStr">
        <is>
          <t>claude-opus-5=0.76</t>
        </is>
      </c>
      <c r="K11" t="n">
        <v>0.76</v>
      </c>
      <c r="N11" t="n">
        <v>1</v>
      </c>
      <c r="O11" t="inlineStr">
        <is>
          <t>turns</t>
        </is>
      </c>
      <c r="S11" t="inlineStr">
        <is>
          <t>done</t>
        </is>
      </c>
      <c r="T11" t="inlineStr">
        <is>
          <t>whole session $0.76 over 1 turns (ceiling); 2026-09-21T22:54 to 2026-09-21T22:56</t>
        </is>
      </c>
    </row>
    <row r="12">
      <c r="A12" t="inlineStr">
        <is>
          <t>2026-09-22</t>
        </is>
      </c>
      <c r="B12" t="inlineStr">
        <is>
          <t>agent session</t>
        </is>
      </c>
      <c r="C12" t="inlineStr">
        <is>
          <t>agent headless</t>
        </is>
      </c>
      <c r="D12" t="inlineStr">
        <is>
          <t>-Users-sangit-src-japes/010a45b9-19d3-4cab-92aa-aa2cf5a20057</t>
        </is>
      </c>
      <c r="E12" t="inlineStr">
        <is>
          <t>claude-opus-5=1.16</t>
        </is>
      </c>
      <c r="K12" t="n">
        <v>1.1566</v>
      </c>
      <c r="N12" t="n">
        <v>1</v>
      </c>
      <c r="O12" t="inlineStr">
        <is>
          <t>turns</t>
        </is>
      </c>
      <c r="S12" t="inlineStr">
        <is>
          <t>done</t>
        </is>
      </c>
      <c r="T12" t="inlineStr">
        <is>
          <t>whole session $1.1566 over 1 turns (ceiling); 2026-09-22T02:25 to 2026-09-22T02:29</t>
        </is>
      </c>
    </row>
    <row r="13">
      <c r="A13" t="inlineStr">
        <is>
          <t>2026-09-22</t>
        </is>
      </c>
      <c r="B13" t="inlineStr">
        <is>
          <t>agent session</t>
        </is>
      </c>
      <c r="C13" t="inlineStr">
        <is>
          <t>agent headless</t>
        </is>
      </c>
      <c r="D13" t="inlineStr">
        <is>
          <t>-Users-sangit-src-japes/359eba9e-2107-4306-a730-7afc99f75388</t>
        </is>
      </c>
      <c r="E13" t="inlineStr">
        <is>
          <t>claude-opus-5=1.31</t>
        </is>
      </c>
      <c r="K13" t="n">
        <v>1.3127</v>
      </c>
      <c r="N13" t="n">
        <v>1</v>
      </c>
      <c r="O13" t="inlineStr">
        <is>
          <t>turns</t>
        </is>
      </c>
      <c r="S13" t="inlineStr">
        <is>
          <t>done</t>
        </is>
      </c>
      <c r="T13" t="inlineStr">
        <is>
          <t>whole session $1.3127 over 1 turns (ceiling); 2026-09-22T02:34 to 2026-09-22T02:38</t>
        </is>
      </c>
    </row>
    <row r="14">
      <c r="A14" t="inlineStr">
        <is>
          <t>2026-09-22</t>
        </is>
      </c>
      <c r="B14" t="inlineStr">
        <is>
          <t>agent session</t>
        </is>
      </c>
      <c r="C14" t="inlineStr">
        <is>
          <t>agent headless</t>
        </is>
      </c>
      <c r="D14" t="inlineStr">
        <is>
          <t>-Users-sangit-src-japes/468a6d66-a65d-41b5-80c3-25df2cc4a113</t>
        </is>
      </c>
      <c r="E14" t="inlineStr">
        <is>
          <t>claude-opus-5=0.85</t>
        </is>
      </c>
      <c r="K14" t="n">
        <v>0.8528</v>
      </c>
      <c r="N14" t="n">
        <v>1</v>
      </c>
      <c r="O14" t="inlineStr">
        <is>
          <t>turns</t>
        </is>
      </c>
      <c r="S14" t="inlineStr">
        <is>
          <t>done</t>
        </is>
      </c>
      <c r="T14" t="inlineStr">
        <is>
          <t>whole session $0.8528 over 1 turns (ceiling); 2026-09-22T02:41 to 2026-09-22T02:44</t>
        </is>
      </c>
    </row>
    <row r="15">
      <c r="A15" t="inlineStr">
        <is>
          <t>2026-09-22</t>
        </is>
      </c>
      <c r="B15" t="inlineStr">
        <is>
          <t>agent session</t>
        </is>
      </c>
      <c r="C15" t="inlineStr">
        <is>
          <t>agent headless</t>
        </is>
      </c>
      <c r="D15" t="inlineStr">
        <is>
          <t>-Users-sangit-src-japes/046b364b-22bd-4048-b9b0-52243c62f806</t>
        </is>
      </c>
      <c r="E15" t="inlineStr">
        <is>
          <t>claude-opus-5=1.30</t>
        </is>
      </c>
      <c r="K15" t="n">
        <v>1.3028</v>
      </c>
      <c r="N15" t="n">
        <v>1</v>
      </c>
      <c r="O15" t="inlineStr">
        <is>
          <t>turns</t>
        </is>
      </c>
      <c r="S15" t="inlineStr">
        <is>
          <t>done</t>
        </is>
      </c>
      <c r="T15" t="inlineStr">
        <is>
          <t>whole session $1.3028 over 1 turns (ceiling); 2026-09-22T02:47 to 2026-09-22T02:51</t>
        </is>
      </c>
    </row>
    <row r="16">
      <c r="A16" t="inlineStr">
        <is>
          <t>2026-09-22</t>
        </is>
      </c>
      <c r="B16" t="inlineStr">
        <is>
          <t>agent session</t>
        </is>
      </c>
      <c r="C16" t="inlineStr">
        <is>
          <t>agent headless</t>
        </is>
      </c>
      <c r="D16" t="inlineStr">
        <is>
          <t>-Users-sangit-src-japes/8283f720-e1ab-46eb-9042-74a6968fad0a</t>
        </is>
      </c>
      <c r="E16" t="inlineStr">
        <is>
          <t>claude-opus-5=0.76</t>
        </is>
      </c>
      <c r="K16" t="n">
        <v>0.7598</v>
      </c>
      <c r="N16" t="n">
        <v>1</v>
      </c>
      <c r="O16" t="inlineStr">
        <is>
          <t>turns</t>
        </is>
      </c>
      <c r="S16" t="inlineStr">
        <is>
          <t>done</t>
        </is>
      </c>
      <c r="T16" t="inlineStr">
        <is>
          <t>whole session $0.7598 over 1 turns (ceiling); 2026-09-22T02:55 to 2026-09-22T02:57</t>
        </is>
      </c>
    </row>
    <row r="17">
      <c r="A17" t="inlineStr">
        <is>
          <t>2026-09-22</t>
        </is>
      </c>
      <c r="B17" t="inlineStr">
        <is>
          <t>agent session</t>
        </is>
      </c>
      <c r="C17" t="inlineStr">
        <is>
          <t>agent headless</t>
        </is>
      </c>
      <c r="D17" t="inlineStr">
        <is>
          <t>-Users-sangit-src-japes/c98049f7-ed78-4663-82a1-f591b8cf43b2</t>
        </is>
      </c>
      <c r="E17" t="inlineStr">
        <is>
          <t>claude-opus-5=1.70</t>
        </is>
      </c>
      <c r="K17" t="n">
        <v>1.7018</v>
      </c>
      <c r="N17" t="n">
        <v>1</v>
      </c>
      <c r="O17" t="inlineStr">
        <is>
          <t>turns</t>
        </is>
      </c>
      <c r="S17" t="inlineStr">
        <is>
          <t>done</t>
        </is>
      </c>
      <c r="T17" t="inlineStr">
        <is>
          <t>whole session $1.7018 over 1 turns (ceiling); 2026-09-22T03:04 to 2026-09-22T03:10</t>
        </is>
      </c>
    </row>
    <row r="18">
      <c r="A18" t="inlineStr">
        <is>
          <t>2026-09-22</t>
        </is>
      </c>
      <c r="B18" t="inlineStr">
        <is>
          <t>agent session</t>
        </is>
      </c>
      <c r="C18" t="inlineStr">
        <is>
          <t>agent headless</t>
        </is>
      </c>
      <c r="D18" t="inlineStr">
        <is>
          <t>-Users-sangit-src-japes/86511c46-6932-4797-b9be-e775d3a68aff</t>
        </is>
      </c>
      <c r="E18" t="inlineStr">
        <is>
          <t>claude-opus-5=0.44</t>
        </is>
      </c>
      <c r="K18" t="n">
        <v>0.4365</v>
      </c>
      <c r="N18" t="n">
        <v>1</v>
      </c>
      <c r="O18" t="inlineStr">
        <is>
          <t>turns</t>
        </is>
      </c>
      <c r="S18" t="inlineStr">
        <is>
          <t>done</t>
        </is>
      </c>
      <c r="T18" t="inlineStr">
        <is>
          <t>whole session $0.4365 over 1 turns (ceiling); 2026-09-22T03:13 to 2026-09-22T03:15</t>
        </is>
      </c>
    </row>
    <row r="19">
      <c r="A19" t="inlineStr">
        <is>
          <t>2026-09-22</t>
        </is>
      </c>
      <c r="B19" t="inlineStr">
        <is>
          <t>agent session</t>
        </is>
      </c>
      <c r="C19" t="inlineStr">
        <is>
          <t>agent headless</t>
        </is>
      </c>
      <c r="D19" t="inlineStr">
        <is>
          <t>-Users-sangit-src-japes/9a86d2ff-7464-47eb-861e-a083b8499bc7</t>
        </is>
      </c>
      <c r="E19" t="inlineStr">
        <is>
          <t>claude-opus-5=1.19</t>
        </is>
      </c>
      <c r="K19" t="n">
        <v>1.1872</v>
      </c>
      <c r="N19" t="n">
        <v>1</v>
      </c>
      <c r="O19" t="inlineStr">
        <is>
          <t>turns</t>
        </is>
      </c>
      <c r="S19" t="inlineStr">
        <is>
          <t>done</t>
        </is>
      </c>
      <c r="T19" t="inlineStr">
        <is>
          <t>whole session $1.1872 over 1 turns (ceiling); 2026-09-22T15:58 to 2026-09-22T16:02</t>
        </is>
      </c>
    </row>
    <row r="20">
      <c r="A20" t="inlineStr">
        <is>
          <t>2026-09-22</t>
        </is>
      </c>
      <c r="B20" t="inlineStr">
        <is>
          <t>agent session</t>
        </is>
      </c>
      <c r="C20" t="inlineStr">
        <is>
          <t>agent headless</t>
        </is>
      </c>
      <c r="D20" t="inlineStr">
        <is>
          <t>-Users-sangit-src-japes/28c943d2-d53c-4b00-b3e8-ae6038c1b0a0</t>
        </is>
      </c>
      <c r="E20" t="inlineStr">
        <is>
          <t>claude-opus-5=0.97</t>
        </is>
      </c>
      <c r="K20" t="n">
        <v>0.9685</v>
      </c>
      <c r="N20" t="n">
        <v>1</v>
      </c>
      <c r="O20" t="inlineStr">
        <is>
          <t>turns</t>
        </is>
      </c>
      <c r="S20" t="inlineStr">
        <is>
          <t>done</t>
        </is>
      </c>
      <c r="T20" t="inlineStr">
        <is>
          <t>whole session $0.9685 over 1 turns (ceiling); 2026-09-22T16:06 to 2026-09-22T16:09</t>
        </is>
      </c>
    </row>
    <row r="21">
      <c r="A21" t="inlineStr">
        <is>
          <t>2026-09-22</t>
        </is>
      </c>
      <c r="B21" t="inlineStr">
        <is>
          <t>agent session</t>
        </is>
      </c>
      <c r="C21" t="inlineStr">
        <is>
          <t>agent headless</t>
        </is>
      </c>
      <c r="D21" t="inlineStr">
        <is>
          <t>-Users-sangit-src-japes/dffbc57d-5a89-4a3e-bbef-1e355c4471cf</t>
        </is>
      </c>
      <c r="E21" t="inlineStr">
        <is>
          <t>claude-opus-5=0.86</t>
        </is>
      </c>
      <c r="K21" t="n">
        <v>0.8589</v>
      </c>
      <c r="N21" t="n">
        <v>1</v>
      </c>
      <c r="O21" t="inlineStr">
        <is>
          <t>turns</t>
        </is>
      </c>
      <c r="S21" t="inlineStr">
        <is>
          <t>done</t>
        </is>
      </c>
      <c r="T21" t="inlineStr">
        <is>
          <t>whole session $0.8589 over 1 turns (ceiling); 2026-09-22T16:12 to 2026-09-22T16:15</t>
        </is>
      </c>
    </row>
    <row r="22">
      <c r="A22" t="inlineStr">
        <is>
          <t>2026-09-22</t>
        </is>
      </c>
      <c r="B22" t="inlineStr">
        <is>
          <t>agent session</t>
        </is>
      </c>
      <c r="C22" t="inlineStr">
        <is>
          <t>agent headless</t>
        </is>
      </c>
      <c r="D22" t="inlineStr">
        <is>
          <t>-Users-sangit-src-japes/f458535f-8419-4786-b771-f4df3c772663</t>
        </is>
      </c>
      <c r="E22" t="inlineStr">
        <is>
          <t>claude-opus-5-5=0.33</t>
        </is>
      </c>
      <c r="K22" t="n">
        <v>0.333</v>
      </c>
      <c r="N22" t="n">
        <v>1</v>
      </c>
      <c r="O22" t="inlineStr">
        <is>
          <t>turns</t>
        </is>
      </c>
      <c r="S22" t="inlineStr">
        <is>
          <t>done</t>
        </is>
      </c>
      <c r="T22" t="inlineStr">
        <is>
          <t>whole session $0.333 over 1 turns (ceiling); 2026-09-22T18:51 to 2026-09-22T18:51</t>
        </is>
      </c>
    </row>
    <row r="23">
      <c r="A23" t="inlineStr">
        <is>
          <t>2026-09-22</t>
        </is>
      </c>
      <c r="B23" t="inlineStr">
        <is>
          <t>agent session</t>
        </is>
      </c>
      <c r="C23" t="inlineStr">
        <is>
          <t>agent headless</t>
        </is>
      </c>
      <c r="D23" t="inlineStr">
        <is>
          <t>-Users-sangit-src-japes/5a37e78e-3963-4c5f-a1a1-1c50a94a2840</t>
        </is>
      </c>
      <c r="E23" t="inlineStr">
        <is>
          <t>claude-opus-5-5=0.55</t>
        </is>
      </c>
      <c r="K23" t="n">
        <v>0.5486</v>
      </c>
      <c r="N23" t="n">
        <v>1</v>
      </c>
      <c r="O23" t="inlineStr">
        <is>
          <t>turns</t>
        </is>
      </c>
      <c r="S23" t="inlineStr">
        <is>
          <t>done</t>
        </is>
      </c>
      <c r="T23" t="inlineStr">
        <is>
          <t>whole session $0.5486 over 1 turns (ceiling); 2026-09-22T21:54 to 2026-09-22T21:55</t>
        </is>
      </c>
    </row>
    <row r="24">
      <c r="A24" t="inlineStr">
        <is>
          <t>2026-09-22</t>
        </is>
      </c>
      <c r="B24" t="inlineStr">
        <is>
          <t>agent session</t>
        </is>
      </c>
      <c r="C24" t="inlineStr">
        <is>
          <t>agent headless</t>
        </is>
      </c>
      <c r="D24" t="inlineStr">
        <is>
          <t>-Users-sangit-src-japes/9824aa09-21cb-4426-986c-a7d061c7d368</t>
        </is>
      </c>
      <c r="E24" t="inlineStr">
        <is>
          <t>claude-opus-5-5=0.28</t>
        </is>
      </c>
      <c r="K24" t="n">
        <v>0.2771</v>
      </c>
      <c r="N24" t="n">
        <v>1</v>
      </c>
      <c r="O24" t="inlineStr">
        <is>
          <t>turns</t>
        </is>
      </c>
      <c r="S24" t="inlineStr">
        <is>
          <t>done</t>
        </is>
      </c>
      <c r="T24" t="inlineStr">
        <is>
          <t>whole session $0.2771 over 1 turns (ceiling); 2026-09-22T22:02 to 2026-09-22T22:02</t>
        </is>
      </c>
    </row>
    <row r="25">
      <c r="A25" t="inlineStr">
        <is>
          <t>2026-09-22</t>
        </is>
      </c>
      <c r="B25" t="inlineStr">
        <is>
          <t>agent session</t>
        </is>
      </c>
      <c r="C25" t="inlineStr">
        <is>
          <t>agent headless</t>
        </is>
      </c>
      <c r="D25" t="inlineStr">
        <is>
          <t>-Users-sangit-src-japes/32b4e510-d04d-4080-b243-d6d6b09b5655</t>
        </is>
      </c>
      <c r="E25" t="inlineStr">
        <is>
          <t>claude-opus-5-5=0.16</t>
        </is>
      </c>
      <c r="K25" t="n">
        <v>0.1603</v>
      </c>
      <c r="N25" t="n">
        <v>1</v>
      </c>
      <c r="O25" t="inlineStr">
        <is>
          <t>turns</t>
        </is>
      </c>
      <c r="S25" t="inlineStr">
        <is>
          <t>done</t>
        </is>
      </c>
      <c r="T25" t="inlineStr">
        <is>
          <t>whole session $0.1603 over 1 turns (ceiling); 2026-09-22T22:04 to 2026-09-22T22:04</t>
        </is>
      </c>
    </row>
    <row r="26">
      <c r="A26" t="inlineStr">
        <is>
          <t>2026-09-22</t>
        </is>
      </c>
      <c r="B26" t="inlineStr">
        <is>
          <t>agent session</t>
        </is>
      </c>
      <c r="C26" t="inlineStr">
        <is>
          <t>agent headless</t>
        </is>
      </c>
      <c r="D26" t="inlineStr">
        <is>
          <t>-Users-sangit-src-japes/50308415-d436-4521-9b24-24c2c96a30a2</t>
        </is>
      </c>
      <c r="E26" t="inlineStr">
        <is>
          <t>claude-opus-5-5=0.32</t>
        </is>
      </c>
      <c r="K26" t="n">
        <v>0.315</v>
      </c>
      <c r="N26" t="n">
        <v>1</v>
      </c>
      <c r="O26" t="inlineStr">
        <is>
          <t>turns</t>
        </is>
      </c>
      <c r="S26" t="inlineStr">
        <is>
          <t>done</t>
        </is>
      </c>
      <c r="T26" t="inlineStr">
        <is>
          <t>whole session $0.315 over 1 turns (ceiling); 2026-09-22T22:30 to 2026-09-22T22:30</t>
        </is>
      </c>
    </row>
    <row r="27">
      <c r="A27" t="inlineStr">
        <is>
          <t>2026-09-22</t>
        </is>
      </c>
      <c r="B27" t="inlineStr">
        <is>
          <t>agent session</t>
        </is>
      </c>
      <c r="C27" t="inlineStr">
        <is>
          <t>agent headless</t>
        </is>
      </c>
      <c r="D27" t="inlineStr">
        <is>
          <t>-Users-sangit-src-japes/de975e13-e255-4ae1-a0ab-4737c0473dab</t>
        </is>
      </c>
      <c r="E27" t="inlineStr">
        <is>
          <t>claude-opus-5-5=0.43</t>
        </is>
      </c>
      <c r="K27" t="n">
        <v>0.4257</v>
      </c>
      <c r="N27" t="n">
        <v>2</v>
      </c>
      <c r="O27" t="inlineStr">
        <is>
          <t>turns</t>
        </is>
      </c>
      <c r="S27" t="inlineStr">
        <is>
          <t>done</t>
        </is>
      </c>
      <c r="T27" t="inlineStr">
        <is>
          <t>whole session $0.4257 over 2 turns (ceiling); 2026-09-22T22:41 to 2026-09-22T22:56</t>
        </is>
      </c>
    </row>
    <row r="28">
      <c r="A28" t="inlineStr">
        <is>
          <t>2026-09-22</t>
        </is>
      </c>
      <c r="B28" t="inlineStr">
        <is>
          <t>agent session</t>
        </is>
      </c>
      <c r="C28" t="inlineStr">
        <is>
          <t>agent interactive</t>
        </is>
      </c>
      <c r="D28" t="inlineStr">
        <is>
          <t>-Users-sangit-src-japes/5d404081-bf62-47f0-a534-03f6dfcb042e</t>
        </is>
      </c>
      <c r="E28" t="inlineStr">
        <is>
          <t>claude-opus-5=239.12</t>
        </is>
      </c>
      <c r="K28" t="n">
        <v>60.431</v>
      </c>
      <c r="N28" t="n">
        <v>10</v>
      </c>
      <c r="O28" t="inlineStr">
        <is>
          <t>turns</t>
        </is>
      </c>
      <c r="S28" t="inlineStr">
        <is>
          <t>done</t>
        </is>
      </c>
      <c r="T28" t="inlineStr">
        <is>
          <t>whole session $239.1231 over 48 turns (ceiling); 2026-09-22T21:45 to 2026-09-24T02:20</t>
        </is>
      </c>
    </row>
    <row r="29">
      <c r="A29" t="inlineStr">
        <is>
          <t>2026-09-22</t>
        </is>
      </c>
      <c r="B29" t="inlineStr">
        <is>
          <t>agent session</t>
        </is>
      </c>
      <c r="C29" t="inlineStr">
        <is>
          <t>agent interactive</t>
        </is>
      </c>
      <c r="D29" t="inlineStr">
        <is>
          <t>-Users-sangit-src-japes/73a669a7-660e-47c3-bf52-a7a38e5754dd</t>
        </is>
      </c>
      <c r="E29" t="inlineStr">
        <is>
          <t>claude-opus-5=456.18</t>
        </is>
      </c>
      <c r="K29" t="n">
        <v>87.8616</v>
      </c>
      <c r="N29" t="n">
        <v>12</v>
      </c>
      <c r="O29" t="inlineStr">
        <is>
          <t>turns</t>
        </is>
      </c>
      <c r="S29" t="inlineStr">
        <is>
          <t>done</t>
        </is>
      </c>
      <c r="T29" t="inlineStr">
        <is>
          <t>whole session $456.1793 over 91 turns (ceiling); 2026-09-22T21:45 to 2026-09-25T18:11</t>
        </is>
      </c>
    </row>
    <row r="30">
      <c r="A30" t="inlineStr">
        <is>
          <t>2026-09-23</t>
        </is>
      </c>
      <c r="B30" t="inlineStr">
        <is>
          <t>agent session</t>
        </is>
      </c>
      <c r="C30" t="inlineStr">
        <is>
          <t>agent headless</t>
        </is>
      </c>
      <c r="D30" t="inlineStr">
        <is>
          <t>-Users-sangit-src-japes/47205e18-8bef-41f1-8cc6-85962cd43604</t>
        </is>
      </c>
      <c r="E30" t="inlineStr">
        <is>
          <t>claude-opus-5-5=0.64</t>
        </is>
      </c>
      <c r="K30" t="n">
        <v>0.6378</v>
      </c>
      <c r="N30" t="n">
        <v>1</v>
      </c>
      <c r="O30" t="inlineStr">
        <is>
          <t>turns</t>
        </is>
      </c>
      <c r="S30" t="inlineStr">
        <is>
          <t>done</t>
        </is>
      </c>
      <c r="T30" t="inlineStr">
        <is>
          <t>whole session $0.6378 over 1 turns (ceiling); 2026-09-23T07:29 to 2026-09-23T07:30</t>
        </is>
      </c>
    </row>
    <row r="31">
      <c r="A31" t="inlineStr">
        <is>
          <t>2026-09-23</t>
        </is>
      </c>
      <c r="B31" t="inlineStr">
        <is>
          <t>agent session</t>
        </is>
      </c>
      <c r="C31" t="inlineStr">
        <is>
          <t>agent headless</t>
        </is>
      </c>
      <c r="D31" t="inlineStr">
        <is>
          <t>-Users-sangit-src-japes/fa514b21-8882-426a-b266-817e25c09a80</t>
        </is>
      </c>
      <c r="E31" t="inlineStr">
        <is>
          <t>claude-opus-5-5=0.66</t>
        </is>
      </c>
      <c r="K31" t="n">
        <v>0.6556</v>
      </c>
      <c r="N31" t="n">
        <v>1</v>
      </c>
      <c r="O31" t="inlineStr">
        <is>
          <t>turns</t>
        </is>
      </c>
      <c r="S31" t="inlineStr">
        <is>
          <t>done</t>
        </is>
      </c>
      <c r="T31" t="inlineStr">
        <is>
          <t>whole session $0.6556 over 1 turns (ceiling); 2026-09-23T07:51 to 2026-09-23T07:52</t>
        </is>
      </c>
    </row>
    <row r="32">
      <c r="A32" t="inlineStr">
        <is>
          <t>2026-09-24</t>
        </is>
      </c>
      <c r="B32" t="inlineStr">
        <is>
          <t>agent session</t>
        </is>
      </c>
      <c r="C32" t="inlineStr">
        <is>
          <t>agent headless</t>
        </is>
      </c>
      <c r="D32" t="inlineStr">
        <is>
          <t>-Users-sangit-src-japes/fbe20b73-a802-44f5-a94e-eec43d6ab4e2</t>
        </is>
      </c>
      <c r="E32" t="inlineStr">
        <is>
          <t>claude-opus-5-5=0.44</t>
        </is>
      </c>
      <c r="K32" t="n">
        <v>0.4391</v>
      </c>
      <c r="N32" t="n">
        <v>1</v>
      </c>
      <c r="O32" t="inlineStr">
        <is>
          <t>turns</t>
        </is>
      </c>
      <c r="S32" t="inlineStr">
        <is>
          <t>done</t>
        </is>
      </c>
      <c r="T32" t="inlineStr">
        <is>
          <t>whole session $0.4391 over 1 turns (ceiling); 2026-09-24T00:18 to 2026-09-24T00:20</t>
        </is>
      </c>
    </row>
    <row r="33">
      <c r="A33" t="inlineStr">
        <is>
          <t>2026-09-24</t>
        </is>
      </c>
      <c r="B33" t="inlineStr">
        <is>
          <t>agent session</t>
        </is>
      </c>
      <c r="C33" t="inlineStr">
        <is>
          <t>agent headless</t>
        </is>
      </c>
      <c r="D33" t="inlineStr">
        <is>
          <t>-Users-sangit-src-japes/0049013b-d96a-4a51-b841-fb3ea5c99cc8</t>
        </is>
      </c>
      <c r="E33" t="inlineStr">
        <is>
          <t>claude-opus-5-5=0.31</t>
        </is>
      </c>
      <c r="K33" t="n">
        <v>0.3063</v>
      </c>
      <c r="N33" t="n">
        <v>1</v>
      </c>
      <c r="O33" t="inlineStr">
        <is>
          <t>turns</t>
        </is>
      </c>
      <c r="S33" t="inlineStr">
        <is>
          <t>done</t>
        </is>
      </c>
      <c r="T33" t="inlineStr">
        <is>
          <t>whole session $0.3063 over 1 turns (ceiling); 2026-09-24T02:04 to 2026-09-24T02:05</t>
        </is>
      </c>
    </row>
    <row r="34">
      <c r="A34" t="inlineStr">
        <is>
          <t>2026-09-24</t>
        </is>
      </c>
      <c r="B34" t="inlineStr">
        <is>
          <t>agent session</t>
        </is>
      </c>
      <c r="C34" t="inlineStr">
        <is>
          <t>agent headless</t>
        </is>
      </c>
      <c r="D34" t="inlineStr">
        <is>
          <t>-Users-sangit-src-japes/dc7a86dd-55fe-46ea-8acd-09c3ee772a08</t>
        </is>
      </c>
      <c r="E34" t="inlineStr">
        <is>
          <t>claude-opus-5-5=0.21</t>
        </is>
      </c>
      <c r="K34" t="n">
        <v>0.2126</v>
      </c>
      <c r="N34" t="n">
        <v>1</v>
      </c>
      <c r="O34" t="inlineStr">
        <is>
          <t>turns</t>
        </is>
      </c>
      <c r="S34" t="inlineStr">
        <is>
          <t>done</t>
        </is>
      </c>
      <c r="T34" t="inlineStr">
        <is>
          <t>whole session $0.2126 over 1 turns (ceiling); 2026-09-24T02:09 to 2026-09-24T02:09</t>
        </is>
      </c>
    </row>
    <row r="35">
      <c r="A35" t="inlineStr">
        <is>
          <t>2026-09-24</t>
        </is>
      </c>
      <c r="B35" t="inlineStr">
        <is>
          <t>agent session</t>
        </is>
      </c>
      <c r="C35" t="inlineStr">
        <is>
          <t>agent headless</t>
        </is>
      </c>
      <c r="D35" t="inlineStr">
        <is>
          <t>-Users-sangit-src-jaci/163c340e-7f6c-48a1-8e3d-6b69234059ea</t>
        </is>
      </c>
      <c r="E35" t="inlineStr">
        <is>
          <t>claude-opus-5-5=1.75</t>
        </is>
      </c>
      <c r="K35" t="n">
        <v>1.7546</v>
      </c>
      <c r="N35" t="n">
        <v>1</v>
      </c>
      <c r="O35" t="inlineStr">
        <is>
          <t>turns</t>
        </is>
      </c>
      <c r="S35" t="inlineStr">
        <is>
          <t>done</t>
        </is>
      </c>
      <c r="T35" t="inlineStr">
        <is>
          <t>whole session $1.7546 over 1 turns (ceiling); 2026-09-24T04:05 to 2026-09-24T04:06</t>
        </is>
      </c>
    </row>
    <row r="36">
      <c r="A36" t="inlineStr">
        <is>
          <t>2026-09-24</t>
        </is>
      </c>
      <c r="B36" t="inlineStr">
        <is>
          <t>agent session</t>
        </is>
      </c>
      <c r="C36" t="inlineStr">
        <is>
          <t>agent headless</t>
        </is>
      </c>
      <c r="D36" t="inlineStr">
        <is>
          <t>-Users-sangit-src-japes/1dd3b3b5-4ee2-4013-8087-d64e522fe4a0</t>
        </is>
      </c>
      <c r="E36" t="inlineStr">
        <is>
          <t>claude-opus-5-5=0.33</t>
        </is>
      </c>
      <c r="K36" t="n">
        <v>0.3302</v>
      </c>
      <c r="N36" t="n">
        <v>1</v>
      </c>
      <c r="O36" t="inlineStr">
        <is>
          <t>turns</t>
        </is>
      </c>
      <c r="S36" t="inlineStr">
        <is>
          <t>done</t>
        </is>
      </c>
      <c r="T36" t="inlineStr">
        <is>
          <t>whole session $0.3302 over 1 turns (ceiling); 2026-09-24T04:32 to 2026-09-24T04:32</t>
        </is>
      </c>
    </row>
    <row r="37">
      <c r="A37" t="inlineStr">
        <is>
          <t>2026-09-24</t>
        </is>
      </c>
      <c r="B37" t="inlineStr">
        <is>
          <t>agent session</t>
        </is>
      </c>
      <c r="C37" t="inlineStr">
        <is>
          <t>agent headless</t>
        </is>
      </c>
      <c r="D37" t="inlineStr">
        <is>
          <t>-Users-sangit-src-japes/fd95ddb0-b384-47ad-a75b-429c2c116ea9</t>
        </is>
      </c>
      <c r="E37" t="inlineStr">
        <is>
          <t>claude-opus-5-5=0.24</t>
        </is>
      </c>
      <c r="K37" t="n">
        <v>0.2428</v>
      </c>
      <c r="N37" t="n">
        <v>1</v>
      </c>
      <c r="O37" t="inlineStr">
        <is>
          <t>turns</t>
        </is>
      </c>
      <c r="S37" t="inlineStr">
        <is>
          <t>done</t>
        </is>
      </c>
      <c r="T37" t="inlineStr">
        <is>
          <t>whole session $0.2428 over 1 turns (ceiling); 2026-09-24T04:45 to 2026-09-24T04:45</t>
        </is>
      </c>
    </row>
    <row r="38">
      <c r="A38" t="inlineStr">
        <is>
          <t>2026-09-24</t>
        </is>
      </c>
      <c r="B38" t="inlineStr">
        <is>
          <t>agent session</t>
        </is>
      </c>
      <c r="C38" t="inlineStr">
        <is>
          <t>agent headless</t>
        </is>
      </c>
      <c r="D38" t="inlineStr">
        <is>
          <t>-Users-sangit-src-japes/7e1376e6-ef91-405c-a292-d9d93ed93e6d</t>
        </is>
      </c>
      <c r="E38" t="inlineStr">
        <is>
          <t>claude-opus-5-5=0.23</t>
        </is>
      </c>
      <c r="K38" t="n">
        <v>0.2262</v>
      </c>
      <c r="N38" t="n">
        <v>1</v>
      </c>
      <c r="O38" t="inlineStr">
        <is>
          <t>turns</t>
        </is>
      </c>
      <c r="S38" t="inlineStr">
        <is>
          <t>done</t>
        </is>
      </c>
      <c r="T38" t="inlineStr">
        <is>
          <t>whole session $0.2262 over 1 turns (ceiling); 2026-09-24T04:46 to 2026-09-24T04:46</t>
        </is>
      </c>
    </row>
    <row r="39">
      <c r="A39" t="inlineStr">
        <is>
          <t>2026-09-24</t>
        </is>
      </c>
      <c r="B39" t="inlineStr">
        <is>
          <t>agent session</t>
        </is>
      </c>
      <c r="C39" t="inlineStr">
        <is>
          <t>agent headless</t>
        </is>
      </c>
      <c r="D39" t="inlineStr">
        <is>
          <t>-Users-sangit-src-japes/74cc6031-ddc5-42a6-bff2-f4f2a5914f95</t>
        </is>
      </c>
      <c r="E39" t="inlineStr">
        <is>
          <t>claude-opus-5-5=0.42</t>
        </is>
      </c>
      <c r="K39" t="n">
        <v>0.4151</v>
      </c>
      <c r="N39" t="n">
        <v>1</v>
      </c>
      <c r="O39" t="inlineStr">
        <is>
          <t>turns</t>
        </is>
      </c>
      <c r="S39" t="inlineStr">
        <is>
          <t>done</t>
        </is>
      </c>
      <c r="T39" t="inlineStr">
        <is>
          <t>whole session $0.4151 over 1 turns (ceiling); 2026-09-24T20:54 to 2026-09-24T20:55</t>
        </is>
      </c>
    </row>
    <row r="40">
      <c r="A40" t="inlineStr">
        <is>
          <t>2026-09-24</t>
        </is>
      </c>
      <c r="B40" t="inlineStr">
        <is>
          <t>agent session</t>
        </is>
      </c>
      <c r="C40" t="inlineStr">
        <is>
          <t>agent headless</t>
        </is>
      </c>
      <c r="D40" t="inlineStr">
        <is>
          <t>-Users-sangit-src-japes/4298a45a-01fb-4865-85e7-39b77504dd4d</t>
        </is>
      </c>
      <c r="E40" t="inlineStr">
        <is>
          <t>claude-opus-5-5=0.25</t>
        </is>
      </c>
      <c r="K40" t="n">
        <v>0.2483</v>
      </c>
      <c r="N40" t="n">
        <v>1</v>
      </c>
      <c r="O40" t="inlineStr">
        <is>
          <t>turns</t>
        </is>
      </c>
      <c r="S40" t="inlineStr">
        <is>
          <t>done</t>
        </is>
      </c>
      <c r="T40" t="inlineStr">
        <is>
          <t>whole session $0.2483 over 1 turns (ceiling); 2026-09-24T20:57 to 2026-09-24T20:57</t>
        </is>
      </c>
    </row>
    <row r="41">
      <c r="A41" t="inlineStr">
        <is>
          <t>2026-09-24</t>
        </is>
      </c>
      <c r="B41" t="inlineStr">
        <is>
          <t>agent session</t>
        </is>
      </c>
      <c r="C41" t="inlineStr">
        <is>
          <t>agent interactive</t>
        </is>
      </c>
      <c r="D41" t="inlineStr">
        <is>
          <t>-Users-sangit-src-jaci/05243d61-ea66-4293-9d6e-a1b606a66407</t>
        </is>
      </c>
      <c r="E41" t="inlineStr">
        <is>
          <t>claude-opus-5-5=101.40</t>
        </is>
      </c>
      <c r="K41" t="n">
        <v>59.6179</v>
      </c>
      <c r="N41" t="n">
        <v>18</v>
      </c>
      <c r="O41" t="inlineStr">
        <is>
          <t>turns</t>
        </is>
      </c>
      <c r="S41" t="inlineStr">
        <is>
          <t>done</t>
        </is>
      </c>
      <c r="T41" t="inlineStr">
        <is>
          <t>whole session $107.5207 over 56 turns (ceiling); 2026-09-24T04:06 to 2026-10-04T03:19</t>
        </is>
      </c>
    </row>
    <row r="42">
      <c r="A42" t="inlineStr">
        <is>
          <t>2026-09-24</t>
        </is>
      </c>
      <c r="B42" t="inlineStr">
        <is>
          <t>agent session</t>
        </is>
      </c>
      <c r="C42" t="inlineStr">
        <is>
          <t>agent interactive</t>
        </is>
      </c>
      <c r="D42" t="inlineStr">
        <is>
          <t>-Users-sangit-src-japes/8a91e58e-54cd-40f0-81d1-db712d23dfb0</t>
        </is>
      </c>
      <c r="E42" t="inlineStr">
        <is>
          <t>claude-opus-5-5=181.34</t>
        </is>
      </c>
      <c r="K42" t="n">
        <v>158.9602</v>
      </c>
      <c r="N42" t="n">
        <v>36</v>
      </c>
      <c r="O42" t="inlineStr">
        <is>
          <t>turns</t>
        </is>
      </c>
      <c r="S42" t="inlineStr">
        <is>
          <t>done</t>
        </is>
      </c>
      <c r="T42" t="inlineStr">
        <is>
          <t>whole session $182.8424 over 51 turns (ceiling); 2026-09-24T16:06 to 2026-10-02T06:46</t>
        </is>
      </c>
    </row>
    <row r="43">
      <c r="A43" t="inlineStr">
        <is>
          <t>2026-09-25</t>
        </is>
      </c>
      <c r="B43" t="inlineStr">
        <is>
          <t>agent session</t>
        </is>
      </c>
      <c r="C43" t="inlineStr">
        <is>
          <t>agent headless</t>
        </is>
      </c>
      <c r="D43" t="inlineStr">
        <is>
          <t>-Users-sangit-src-japes/7c11e59f-2845-4e25-a842-2cfc20e3b79d</t>
        </is>
      </c>
      <c r="E43" t="inlineStr">
        <is>
          <t>claude-opus-5-5=0.50</t>
        </is>
      </c>
      <c r="K43" t="n">
        <v>0.4956</v>
      </c>
      <c r="N43" t="n">
        <v>1</v>
      </c>
      <c r="O43" t="inlineStr">
        <is>
          <t>turns</t>
        </is>
      </c>
      <c r="S43" t="inlineStr">
        <is>
          <t>done</t>
        </is>
      </c>
      <c r="T43" t="inlineStr">
        <is>
          <t>whole session $0.4956 over 1 turns (ceiling); 2026-09-25T02:22 to 2026-09-25T02:24</t>
        </is>
      </c>
    </row>
    <row r="44">
      <c r="A44" t="inlineStr">
        <is>
          <t>2026-09-25</t>
        </is>
      </c>
      <c r="B44" t="inlineStr">
        <is>
          <t>agent session</t>
        </is>
      </c>
      <c r="C44" t="inlineStr">
        <is>
          <t>agent headless</t>
        </is>
      </c>
      <c r="D44" t="inlineStr">
        <is>
          <t>-Users-sangit-src-japes/c95837fd-e19a-4549-8b5c-bd18cd0cb19e</t>
        </is>
      </c>
      <c r="E44" t="inlineStr">
        <is>
          <t>claude-opus-5-5=0.30</t>
        </is>
      </c>
      <c r="K44" t="n">
        <v>0.3042</v>
      </c>
      <c r="N44" t="n">
        <v>1</v>
      </c>
      <c r="O44" t="inlineStr">
        <is>
          <t>turns</t>
        </is>
      </c>
      <c r="S44" t="inlineStr">
        <is>
          <t>done</t>
        </is>
      </c>
      <c r="T44" t="inlineStr">
        <is>
          <t>whole session $0.3042 over 1 turns (ceiling); 2026-09-25T02:25 to 2026-09-25T02:26</t>
        </is>
      </c>
    </row>
    <row r="45">
      <c r="A45" t="inlineStr">
        <is>
          <t>2026-09-25</t>
        </is>
      </c>
      <c r="B45" t="inlineStr">
        <is>
          <t>agent session</t>
        </is>
      </c>
      <c r="C45" t="inlineStr">
        <is>
          <t>agent headless</t>
        </is>
      </c>
      <c r="D45" t="inlineStr">
        <is>
          <t>-Users-sangit-src-japes/83d9adea-0656-45d9-9eb2-7bf6769955bf</t>
        </is>
      </c>
      <c r="E45" t="inlineStr">
        <is>
          <t>claude-opus-5-5=0.30</t>
        </is>
      </c>
      <c r="K45" t="n">
        <v>0.303</v>
      </c>
      <c r="N45" t="n">
        <v>1</v>
      </c>
      <c r="O45" t="inlineStr">
        <is>
          <t>turns</t>
        </is>
      </c>
      <c r="S45" t="inlineStr">
        <is>
          <t>done</t>
        </is>
      </c>
      <c r="T45" t="inlineStr">
        <is>
          <t>whole session $0.303 over 1 turns (ceiling); 2026-09-25T04:07 to 2026-09-25T04:08</t>
        </is>
      </c>
    </row>
    <row r="46">
      <c r="A46" t="inlineStr">
        <is>
          <t>2026-09-25</t>
        </is>
      </c>
      <c r="B46" t="inlineStr">
        <is>
          <t>agent session</t>
        </is>
      </c>
      <c r="C46" t="inlineStr">
        <is>
          <t>agent headless</t>
        </is>
      </c>
      <c r="D46" t="inlineStr">
        <is>
          <t>-Users-sangit-src-japes/0b23f7ee-c800-4a7b-b7e9-4dbaa61aa2c3</t>
        </is>
      </c>
      <c r="E46" t="inlineStr">
        <is>
          <t>claude-opus-5-5=0.42</t>
        </is>
      </c>
      <c r="K46" t="n">
        <v>0.4221</v>
      </c>
      <c r="N46" t="n">
        <v>1</v>
      </c>
      <c r="O46" t="inlineStr">
        <is>
          <t>turns</t>
        </is>
      </c>
      <c r="S46" t="inlineStr">
        <is>
          <t>done</t>
        </is>
      </c>
      <c r="T46" t="inlineStr">
        <is>
          <t>whole session $0.4221 over 1 turns (ceiling); 2026-09-25T04:10 to 2026-09-25T04:12</t>
        </is>
      </c>
    </row>
    <row r="47">
      <c r="A47" t="inlineStr">
        <is>
          <t>2026-09-25</t>
        </is>
      </c>
      <c r="B47" t="inlineStr">
        <is>
          <t>agent session</t>
        </is>
      </c>
      <c r="C47" t="inlineStr">
        <is>
          <t>agent headless</t>
        </is>
      </c>
      <c r="D47" t="inlineStr">
        <is>
          <t>-Users-sangit-src-japes/6e478385-d0e8-40f0-bb19-486d078b199e</t>
        </is>
      </c>
      <c r="E47" t="inlineStr">
        <is>
          <t>claude-opus-5-5=0.29</t>
        </is>
      </c>
      <c r="K47" t="n">
        <v>0.2921</v>
      </c>
      <c r="N47" t="n">
        <v>1</v>
      </c>
      <c r="O47" t="inlineStr">
        <is>
          <t>turns</t>
        </is>
      </c>
      <c r="S47" t="inlineStr">
        <is>
          <t>done</t>
        </is>
      </c>
      <c r="T47" t="inlineStr">
        <is>
          <t>whole session $0.2921 over 1 turns (ceiling); 2026-09-25T04:13 to 2026-09-25T04:14</t>
        </is>
      </c>
    </row>
    <row r="48">
      <c r="A48" t="inlineStr">
        <is>
          <t>2026-09-25</t>
        </is>
      </c>
      <c r="B48" t="inlineStr">
        <is>
          <t>agent session</t>
        </is>
      </c>
      <c r="C48" t="inlineStr">
        <is>
          <t>agent headless</t>
        </is>
      </c>
      <c r="D48" t="inlineStr">
        <is>
          <t>-Users-sangit-src-japes/2e7418c2-bb66-483b-aff4-c3e5d9670af3</t>
        </is>
      </c>
      <c r="E48" t="inlineStr">
        <is>
          <t>claude-opus-5-5=0.37</t>
        </is>
      </c>
      <c r="K48" t="n">
        <v>0.3744</v>
      </c>
      <c r="N48" t="n">
        <v>1</v>
      </c>
      <c r="O48" t="inlineStr">
        <is>
          <t>turns</t>
        </is>
      </c>
      <c r="S48" t="inlineStr">
        <is>
          <t>done</t>
        </is>
      </c>
      <c r="T48" t="inlineStr">
        <is>
          <t>whole session $0.3744 over 1 turns (ceiling); 2026-09-25T04:21 to 2026-09-25T04:22</t>
        </is>
      </c>
    </row>
    <row r="49">
      <c r="A49" t="inlineStr">
        <is>
          <t>2026-09-25</t>
        </is>
      </c>
      <c r="B49" t="inlineStr">
        <is>
          <t>agent session</t>
        </is>
      </c>
      <c r="C49" t="inlineStr">
        <is>
          <t>agent headless</t>
        </is>
      </c>
      <c r="D49" t="inlineStr">
        <is>
          <t>-Users-sangit-src-japes/5c660a41-57c5-4dfe-9ec7-64b5882a7769</t>
        </is>
      </c>
      <c r="E49" t="inlineStr">
        <is>
          <t>claude-opus-5-5=0.33</t>
        </is>
      </c>
      <c r="K49" t="n">
        <v>0.327</v>
      </c>
      <c r="N49" t="n">
        <v>1</v>
      </c>
      <c r="O49" t="inlineStr">
        <is>
          <t>turns</t>
        </is>
      </c>
      <c r="S49" t="inlineStr">
        <is>
          <t>done</t>
        </is>
      </c>
      <c r="T49" t="inlineStr">
        <is>
          <t>whole session $0.327 over 1 turns (ceiling); 2026-09-25T04:23 to 2026-09-25T04:24</t>
        </is>
      </c>
    </row>
    <row r="50">
      <c r="A50" t="inlineStr">
        <is>
          <t>2026-09-25</t>
        </is>
      </c>
      <c r="B50" t="inlineStr">
        <is>
          <t>agent session</t>
        </is>
      </c>
      <c r="C50" t="inlineStr">
        <is>
          <t>agent headless</t>
        </is>
      </c>
      <c r="D50" t="inlineStr">
        <is>
          <t>-Users-sangit-src-japes/1391e41d-f47b-4e94-9a0e-16764eeb22be</t>
        </is>
      </c>
      <c r="E50" t="inlineStr">
        <is>
          <t>claude-opus-5-5=0.28</t>
        </is>
      </c>
      <c r="K50" t="n">
        <v>0.2767</v>
      </c>
      <c r="N50" t="n">
        <v>1</v>
      </c>
      <c r="O50" t="inlineStr">
        <is>
          <t>turns</t>
        </is>
      </c>
      <c r="S50" t="inlineStr">
        <is>
          <t>done</t>
        </is>
      </c>
      <c r="T50" t="inlineStr">
        <is>
          <t>whole session $0.2767 over 1 turns (ceiling); 2026-09-25T04:26 to 2026-09-25T04:27</t>
        </is>
      </c>
    </row>
    <row r="51">
      <c r="A51" t="inlineStr">
        <is>
          <t>2026-09-25</t>
        </is>
      </c>
      <c r="B51" t="inlineStr">
        <is>
          <t>agent session</t>
        </is>
      </c>
      <c r="C51" t="inlineStr">
        <is>
          <t>agent headless</t>
        </is>
      </c>
      <c r="D51" t="inlineStr">
        <is>
          <t>-Users-sangit-src-japes/44aae727-a63b-4929-9ab4-604f987a4a40</t>
        </is>
      </c>
      <c r="E51" t="inlineStr">
        <is>
          <t>claude-opus-5-5=0.29</t>
        </is>
      </c>
      <c r="K51" t="n">
        <v>0.289</v>
      </c>
      <c r="N51" t="n">
        <v>1</v>
      </c>
      <c r="O51" t="inlineStr">
        <is>
          <t>turns</t>
        </is>
      </c>
      <c r="S51" t="inlineStr">
        <is>
          <t>done</t>
        </is>
      </c>
      <c r="T51" t="inlineStr">
        <is>
          <t>whole session $0.289 over 1 turns (ceiling); 2026-09-25T04:27 to 2026-09-25T04:28</t>
        </is>
      </c>
    </row>
    <row r="52">
      <c r="A52" t="inlineStr">
        <is>
          <t>2026-09-25</t>
        </is>
      </c>
      <c r="B52" t="inlineStr">
        <is>
          <t>agent session</t>
        </is>
      </c>
      <c r="C52" t="inlineStr">
        <is>
          <t>agent headless</t>
        </is>
      </c>
      <c r="D52" t="inlineStr">
        <is>
          <t>-Users-sangit-src-japes/4db4d6f4-2362-4296-beb6-ba8e588df575</t>
        </is>
      </c>
      <c r="E52" t="inlineStr">
        <is>
          <t>claude-opus-5-5=0.30</t>
        </is>
      </c>
      <c r="K52" t="n">
        <v>0.2979</v>
      </c>
      <c r="N52" t="n">
        <v>1</v>
      </c>
      <c r="O52" t="inlineStr">
        <is>
          <t>turns</t>
        </is>
      </c>
      <c r="S52" t="inlineStr">
        <is>
          <t>done</t>
        </is>
      </c>
      <c r="T52" t="inlineStr">
        <is>
          <t>whole session $0.2979 over 1 turns (ceiling); 2026-09-25T04:29 to 2026-09-25T04:30</t>
        </is>
      </c>
    </row>
    <row r="53">
      <c r="A53" t="inlineStr">
        <is>
          <t>2026-09-25</t>
        </is>
      </c>
      <c r="B53" t="inlineStr">
        <is>
          <t>agent session</t>
        </is>
      </c>
      <c r="C53" t="inlineStr">
        <is>
          <t>agent headless</t>
        </is>
      </c>
      <c r="D53" t="inlineStr">
        <is>
          <t>-Users-sangit-src-japes/3363765d-ee37-4a68-8a99-1ebe80081dea</t>
        </is>
      </c>
      <c r="E53" t="inlineStr">
        <is>
          <t>claude-opus-5-5=0.35</t>
        </is>
      </c>
      <c r="K53" t="n">
        <v>0.3517</v>
      </c>
      <c r="N53" t="n">
        <v>1</v>
      </c>
      <c r="O53" t="inlineStr">
        <is>
          <t>turns</t>
        </is>
      </c>
      <c r="S53" t="inlineStr">
        <is>
          <t>done</t>
        </is>
      </c>
      <c r="T53" t="inlineStr">
        <is>
          <t>whole session $0.3517 over 1 turns (ceiling); 2026-09-25T04:33 to 2026-09-25T04:34</t>
        </is>
      </c>
    </row>
    <row r="54">
      <c r="A54" t="inlineStr">
        <is>
          <t>2026-09-25</t>
        </is>
      </c>
      <c r="B54" t="inlineStr">
        <is>
          <t>agent session</t>
        </is>
      </c>
      <c r="C54" t="inlineStr">
        <is>
          <t>agent headless</t>
        </is>
      </c>
      <c r="D54" t="inlineStr">
        <is>
          <t>-Users-sangit-src-japes/1c726701-b92f-4de5-a3f1-2c431282a692</t>
        </is>
      </c>
      <c r="E54" t="inlineStr">
        <is>
          <t>claude-opus-5-5=0.24</t>
        </is>
      </c>
      <c r="K54" t="n">
        <v>0.2409</v>
      </c>
      <c r="N54" t="n">
        <v>1</v>
      </c>
      <c r="O54" t="inlineStr">
        <is>
          <t>turns</t>
        </is>
      </c>
      <c r="S54" t="inlineStr">
        <is>
          <t>done</t>
        </is>
      </c>
      <c r="T54" t="inlineStr">
        <is>
          <t>whole session $0.2409 over 1 turns (ceiling); 2026-09-25T04:35 to 2026-09-25T04:36</t>
        </is>
      </c>
    </row>
    <row r="55">
      <c r="A55" t="inlineStr">
        <is>
          <t>2026-09-25</t>
        </is>
      </c>
      <c r="B55" t="inlineStr">
        <is>
          <t>agent session</t>
        </is>
      </c>
      <c r="C55" t="inlineStr">
        <is>
          <t>agent headless</t>
        </is>
      </c>
      <c r="D55" t="inlineStr">
        <is>
          <t>-Users-sangit-src-japes/7464ea54-513d-4050-8938-893f3dc05943</t>
        </is>
      </c>
      <c r="E55" t="inlineStr">
        <is>
          <t>claude-opus-5-5=0.17</t>
        </is>
      </c>
      <c r="K55" t="n">
        <v>0.1736</v>
      </c>
      <c r="N55" t="n">
        <v>1</v>
      </c>
      <c r="O55" t="inlineStr">
        <is>
          <t>turns</t>
        </is>
      </c>
      <c r="S55" t="inlineStr">
        <is>
          <t>done</t>
        </is>
      </c>
      <c r="T55" t="inlineStr">
        <is>
          <t>whole session $0.1736 over 1 turns (ceiling); 2026-09-25T04:36 to 2026-09-25T04:36</t>
        </is>
      </c>
    </row>
    <row r="56">
      <c r="A56" t="inlineStr">
        <is>
          <t>2026-09-25</t>
        </is>
      </c>
      <c r="B56" t="inlineStr">
        <is>
          <t>agent session</t>
        </is>
      </c>
      <c r="C56" t="inlineStr">
        <is>
          <t>agent headless</t>
        </is>
      </c>
      <c r="D56" t="inlineStr">
        <is>
          <t>-Users-sangit-src-japes/4bebf2d3-fb4a-4f36-be3b-a48d3e289713</t>
        </is>
      </c>
      <c r="E56" t="inlineStr">
        <is>
          <t>claude-opus-5-5=0.17</t>
        </is>
      </c>
      <c r="K56" t="n">
        <v>0.1682</v>
      </c>
      <c r="N56" t="n">
        <v>1</v>
      </c>
      <c r="O56" t="inlineStr">
        <is>
          <t>turns</t>
        </is>
      </c>
      <c r="S56" t="inlineStr">
        <is>
          <t>done</t>
        </is>
      </c>
      <c r="T56" t="inlineStr">
        <is>
          <t>whole session $0.1682 over 1 turns (ceiling); 2026-09-25T04:37 to 2026-09-25T04:37</t>
        </is>
      </c>
    </row>
    <row r="57">
      <c r="A57" t="inlineStr">
        <is>
          <t>2026-09-25</t>
        </is>
      </c>
      <c r="B57" t="inlineStr">
        <is>
          <t>agent session</t>
        </is>
      </c>
      <c r="C57" t="inlineStr">
        <is>
          <t>agent interactive</t>
        </is>
      </c>
      <c r="D57" t="inlineStr">
        <is>
          <t>-Users-sangit-src-japes/42ffc51e-c3d1-4717-ae6f-759c9d7af264</t>
        </is>
      </c>
      <c r="E57" t="inlineStr">
        <is>
          <t>claude-opus-5-5=141.24</t>
        </is>
      </c>
      <c r="K57" t="n">
        <v>25.024</v>
      </c>
      <c r="N57" t="n">
        <v>9</v>
      </c>
      <c r="O57" t="inlineStr">
        <is>
          <t>turns</t>
        </is>
      </c>
      <c r="S57" t="inlineStr">
        <is>
          <t>done</t>
        </is>
      </c>
      <c r="T57" t="inlineStr">
        <is>
          <t>whole session $143.4582 over 80 turns (ceiling); 2026-09-25T20:45 to 2026-09-26T19:57</t>
        </is>
      </c>
    </row>
    <row r="58">
      <c r="A58" t="inlineStr">
        <is>
          <t>2026-09-26</t>
        </is>
      </c>
      <c r="B58" t="inlineStr">
        <is>
          <t>agent session</t>
        </is>
      </c>
      <c r="C58" t="inlineStr">
        <is>
          <t>agent interactive</t>
        </is>
      </c>
      <c r="D58" t="inlineStr">
        <is>
          <t>-Users-sangit-src-japes/73bed5a8-b8f6-42c9-888f-2ae7b827c47c</t>
        </is>
      </c>
      <c r="E58" t="inlineStr">
        <is>
          <t>claude-opus-5-5=8.29</t>
        </is>
      </c>
      <c r="K58" t="n">
        <v>3.3293</v>
      </c>
      <c r="N58" t="n">
        <v>2</v>
      </c>
      <c r="O58" t="inlineStr">
        <is>
          <t>turns</t>
        </is>
      </c>
      <c r="S58" t="inlineStr">
        <is>
          <t>done</t>
        </is>
      </c>
      <c r="T58" t="inlineStr">
        <is>
          <t>whole session $8.2917 over 13 turns (ceiling); 2026-09-26T20:32 to 2026-09-27T02:32</t>
        </is>
      </c>
    </row>
    <row r="59">
      <c r="A59" t="inlineStr">
        <is>
          <t>2026-09-27</t>
        </is>
      </c>
      <c r="B59" t="inlineStr">
        <is>
          <t>agent session</t>
        </is>
      </c>
      <c r="C59" t="inlineStr">
        <is>
          <t>agent interactive</t>
        </is>
      </c>
      <c r="D59" t="inlineStr">
        <is>
          <t>-Users-sangit-src-japes/7c3d510d-335e-466e-b6f3-6ecb417389e1</t>
        </is>
      </c>
      <c r="E59" t="inlineStr">
        <is>
          <t>claude-opus-5-5=741.14</t>
        </is>
      </c>
      <c r="K59" t="n">
        <v>459.3439</v>
      </c>
      <c r="N59" t="n">
        <v>116</v>
      </c>
      <c r="O59" t="inlineStr">
        <is>
          <t>turns</t>
        </is>
      </c>
      <c r="S59" t="inlineStr">
        <is>
          <t>done</t>
        </is>
      </c>
      <c r="T59" t="inlineStr">
        <is>
          <t>whole session $777.3589 over 327 turns (ceiling); 2026-09-27T02:40 to 2026-10-02T22:28</t>
        </is>
      </c>
    </row>
    <row r="60">
      <c r="A60" t="inlineStr">
        <is>
          <t>2026-09-30</t>
        </is>
      </c>
      <c r="B60" t="inlineStr">
        <is>
          <t>agent session</t>
        </is>
      </c>
      <c r="C60" t="inlineStr">
        <is>
          <t>agent interactive</t>
        </is>
      </c>
      <c r="D60" t="inlineStr">
        <is>
          <t>-Users-sangit-src-gits-japes/1c052cb6-e05a-46b2-b672-d50d87295e28</t>
        </is>
      </c>
      <c r="E60" t="inlineStr">
        <is>
          <t>claude-opus-5-5=1.78</t>
        </is>
      </c>
      <c r="K60" t="n">
        <v>1.5065</v>
      </c>
      <c r="N60" t="n">
        <v>1</v>
      </c>
      <c r="O60" t="inlineStr">
        <is>
          <t>turns</t>
        </is>
      </c>
      <c r="S60" t="inlineStr">
        <is>
          <t>done</t>
        </is>
      </c>
      <c r="T60" t="inlineStr">
        <is>
          <t>whole session $1.7753 over 5 turns (ceiling); 2026-09-30T00:10 to 2026-09-30T06:27</t>
        </is>
      </c>
    </row>
    <row r="61">
      <c r="A61" t="inlineStr">
        <is>
          <t>2026-09-30</t>
        </is>
      </c>
      <c r="B61" t="inlineStr">
        <is>
          <t>agent session</t>
        </is>
      </c>
      <c r="C61" t="inlineStr">
        <is>
          <t>agent interactive</t>
        </is>
      </c>
      <c r="D61" t="inlineStr">
        <is>
          <t>-Users-sangit-src-jaci/d5ca3cc4-1049-43c1-9f75-66ec351f1295</t>
        </is>
      </c>
      <c r="E61" t="inlineStr">
        <is>
          <t>claude-opus-5-5=101.50</t>
        </is>
      </c>
      <c r="K61" t="n">
        <v>100.7088</v>
      </c>
      <c r="N61" t="n">
        <v>36</v>
      </c>
      <c r="O61" t="inlineStr">
        <is>
          <t>turns</t>
        </is>
      </c>
      <c r="S61" t="inlineStr">
        <is>
          <t>done</t>
        </is>
      </c>
      <c r="T61" t="inlineStr">
        <is>
          <t>whole session $137.2785 over 66 turns (ceiling); 2026-09-30T00:30 to 2026-10-02T06:01</t>
        </is>
      </c>
    </row>
    <row r="62">
      <c r="A62" t="inlineStr">
        <is>
          <t>2026-10-02</t>
        </is>
      </c>
      <c r="B62" t="inlineStr">
        <is>
          <t>agent session</t>
        </is>
      </c>
      <c r="C62" t="inlineStr">
        <is>
          <t>agent interactive</t>
        </is>
      </c>
      <c r="D62" t="inlineStr">
        <is>
          <t>-Users-sangit-src-japes/b68269af-f616-4334-a856-c6de5177aa29</t>
        </is>
      </c>
      <c r="E62" t="inlineStr">
        <is>
          <t>claude-opus-5-5=85.85</t>
        </is>
      </c>
      <c r="K62" t="n">
        <v>46.8141</v>
      </c>
      <c r="N62" t="n">
        <v>12</v>
      </c>
      <c r="O62" t="inlineStr">
        <is>
          <t>turns</t>
        </is>
      </c>
      <c r="S62" t="inlineStr">
        <is>
          <t>done</t>
        </is>
      </c>
      <c r="T62" t="inlineStr">
        <is>
          <t>whole session $86.559 over 46 turns (ceiling); 2026-10-02T06:47 to 2026-10-02T18:15</t>
        </is>
      </c>
    </row>
    <row r="63">
      <c r="A63" t="inlineStr">
        <is>
          <t>2026-10-02</t>
        </is>
      </c>
      <c r="B63" t="inlineStr">
        <is>
          <t>agent session</t>
        </is>
      </c>
      <c r="C63" t="inlineStr">
        <is>
          <t>agent interactive</t>
        </is>
      </c>
      <c r="D63" t="inlineStr">
        <is>
          <t>-Users-sangit-src-jaci/6653cf42-0d07-40ca-af99-c9f322fa0b6a</t>
        </is>
      </c>
      <c r="E63" t="inlineStr">
        <is>
          <t>claude-opus-5-5=19.26</t>
        </is>
      </c>
      <c r="K63" t="n">
        <v>8.1828</v>
      </c>
      <c r="N63" t="n">
        <v>11</v>
      </c>
      <c r="O63" t="inlineStr">
        <is>
          <t>turns</t>
        </is>
      </c>
      <c r="S63" t="inlineStr">
        <is>
          <t>done</t>
        </is>
      </c>
      <c r="T63" t="inlineStr">
        <is>
          <t>whole session $19.2591 over 28 turns (ceiling); 2026-10-02T06:59 to 2026-10-02T21:32</t>
        </is>
      </c>
    </row>
    <row r="64">
      <c r="A64" t="inlineStr">
        <is>
          <t>2026-10-02</t>
        </is>
      </c>
      <c r="B64" t="inlineStr">
        <is>
          <t>agent session</t>
        </is>
      </c>
      <c r="C64" t="inlineStr">
        <is>
          <t>agent interactive</t>
        </is>
      </c>
      <c r="D64" t="inlineStr">
        <is>
          <t>-Users-sangit-src-japes/341d25af-7390-4d60-b399-d4b2bcd10ea9</t>
        </is>
      </c>
      <c r="E64" t="inlineStr">
        <is>
          <t>claude-sonnet-5-5=0.35</t>
        </is>
      </c>
      <c r="K64" t="n">
        <v>0.0587</v>
      </c>
      <c r="N64" t="n">
        <v>2</v>
      </c>
      <c r="O64" t="inlineStr">
        <is>
          <t>turns</t>
        </is>
      </c>
      <c r="S64" t="inlineStr">
        <is>
          <t>done</t>
        </is>
      </c>
      <c r="T64" t="inlineStr">
        <is>
          <t>whole session $0.3548 over 9 turns (ceiling); 2026-10-02T18:15 to 2026-10-02T18:29</t>
        </is>
      </c>
    </row>
    <row r="65">
      <c r="A65" t="inlineStr">
        <is>
          <t>2026-10-02</t>
        </is>
      </c>
      <c r="B65" t="inlineStr">
        <is>
          <t>agent session</t>
        </is>
      </c>
      <c r="C65" t="inlineStr">
        <is>
          <t>agent interactive</t>
        </is>
      </c>
      <c r="D65" t="inlineStr">
        <is>
          <t>-Users-sangit-src-japes/9bb16512-f959-40a6-9a9e-b82568b43f44</t>
        </is>
      </c>
      <c r="E65" t="inlineStr">
        <is>
          <t>claude-opus-5-5=9.50</t>
        </is>
      </c>
      <c r="K65" t="n">
        <v>3.4854</v>
      </c>
      <c r="N65" t="n">
        <v>4</v>
      </c>
      <c r="O65" t="inlineStr">
        <is>
          <t>turns</t>
        </is>
      </c>
      <c r="S65" t="inlineStr">
        <is>
          <t>done</t>
        </is>
      </c>
      <c r="T65" t="inlineStr">
        <is>
          <t>whole session $9.4999 over 17 turns (ceiling); 2026-10-02T18:17 to 2026-10-02T21:42</t>
        </is>
      </c>
    </row>
    <row r="66">
      <c r="A66" t="inlineStr">
        <is>
          <t>2026-10-02</t>
        </is>
      </c>
      <c r="B66" t="inlineStr">
        <is>
          <t>agent session</t>
        </is>
      </c>
      <c r="C66" t="inlineStr">
        <is>
          <t>agent interactive</t>
        </is>
      </c>
      <c r="D66" t="inlineStr">
        <is>
          <t>-Users-sangit-src-japes/35b58e50-9b3e-443f-b8c3-dd6ec75f2e10</t>
        </is>
      </c>
      <c r="E66" t="inlineStr">
        <is>
          <t>claude-opus-5-5=27.76;claude-sonnet-5-5=81.64</t>
        </is>
      </c>
      <c r="K66" t="n">
        <v>70.87350000000001</v>
      </c>
      <c r="N66" t="n">
        <v>12</v>
      </c>
      <c r="O66" t="inlineStr">
        <is>
          <t>turns</t>
        </is>
      </c>
      <c r="S66" t="inlineStr">
        <is>
          <t>done</t>
        </is>
      </c>
      <c r="T66" t="inlineStr">
        <is>
          <t>whole session $136.7475 over 97 turns (ceiling); 2026-10-02T21:51 to 2026-10-04T06:01</t>
        </is>
      </c>
    </row>
    <row r="67">
      <c r="A67" t="inlineStr">
        <is>
          <t>2026-10-02</t>
        </is>
      </c>
      <c r="B67" t="inlineStr">
        <is>
          <t>agent session</t>
        </is>
      </c>
      <c r="C67" t="inlineStr">
        <is>
          <t>agent interactive</t>
        </is>
      </c>
      <c r="D67" t="inlineStr">
        <is>
          <t>-Users-sangit-src-jaci/be7d7035-ff25-458f-89c8-701f1fe6768d</t>
        </is>
      </c>
      <c r="E67" t="inlineStr">
        <is>
          <t>claude-sonnet-5-5=0.23</t>
        </is>
      </c>
      <c r="K67" t="n">
        <v>0.2059</v>
      </c>
      <c r="N67" t="n">
        <v>1</v>
      </c>
      <c r="O67" t="inlineStr">
        <is>
          <t>turns</t>
        </is>
      </c>
      <c r="S67" t="inlineStr">
        <is>
          <t>done</t>
        </is>
      </c>
      <c r="T67" t="inlineStr">
        <is>
          <t>whole session $0.2258 over 2 turns (ceiling); 2026-10-02T22:23 to 2026-10-02T22:28</t>
        </is>
      </c>
    </row>
    <row r="68">
      <c r="A68" t="inlineStr">
        <is>
          <t>2026-10-02</t>
        </is>
      </c>
      <c r="B68" t="inlineStr">
        <is>
          <t>agent session</t>
        </is>
      </c>
      <c r="C68" t="inlineStr">
        <is>
          <t>agent interactive</t>
        </is>
      </c>
      <c r="D68" t="inlineStr">
        <is>
          <t>-Users-sangit-src-jaci/8679042f-be8d-4d75-ac5d-95d5de313ae6</t>
        </is>
      </c>
      <c r="E68" t="inlineStr">
        <is>
          <t>claude-sonnet-5-5=4.22</t>
        </is>
      </c>
      <c r="K68" t="n">
        <v>1.4702</v>
      </c>
      <c r="N68" t="n">
        <v>4</v>
      </c>
      <c r="O68" t="inlineStr">
        <is>
          <t>turns</t>
        </is>
      </c>
      <c r="S68" t="inlineStr">
        <is>
          <t>done</t>
        </is>
      </c>
      <c r="T68" t="inlineStr">
        <is>
          <t>whole session $4.2227 over 14 turns (ceiling); 2026-10-02T22:28 to 2026-10-03T22:21</t>
        </is>
      </c>
    </row>
    <row r="69">
      <c r="A69" t="inlineStr">
        <is>
          <t>2026-10-02</t>
        </is>
      </c>
      <c r="B69" t="inlineStr">
        <is>
          <t>agent session</t>
        </is>
      </c>
      <c r="C69" t="inlineStr">
        <is>
          <t>agent interactive</t>
        </is>
      </c>
      <c r="D69" t="inlineStr">
        <is>
          <t>-Users-sangit-src-japes/c170dcc8-da0e-4281-9ff8-fa054185f90a</t>
        </is>
      </c>
      <c r="E69" t="inlineStr">
        <is>
          <t>claude-opus-5-5=89.97</t>
        </is>
      </c>
      <c r="K69" t="n">
        <v>64.48050000000001</v>
      </c>
      <c r="N69" t="n">
        <v>101</v>
      </c>
      <c r="O69" t="inlineStr">
        <is>
          <t>turns</t>
        </is>
      </c>
      <c r="S69" t="inlineStr">
        <is>
          <t>done</t>
        </is>
      </c>
      <c r="T69" t="inlineStr">
        <is>
          <t>whole session $93.8604 over 173 turns (ceiling); 2026-10-02T22:28 to 2026-10-11T03:17</t>
        </is>
      </c>
    </row>
    <row r="70">
      <c r="A70" t="inlineStr">
        <is>
          <t>2026-10-03</t>
        </is>
      </c>
      <c r="B70" t="inlineStr">
        <is>
          <t>agent session</t>
        </is>
      </c>
      <c r="C70" t="inlineStr">
        <is>
          <t>agent interactive</t>
        </is>
      </c>
      <c r="D70" t="inlineStr">
        <is>
          <t>-Users-sangit-src-jaci/a327ae50-f0e1-47ee-91cb-c476dbd4c705</t>
        </is>
      </c>
      <c r="E70" t="inlineStr">
        <is>
          <t>claude-opus-5-5=3.17</t>
        </is>
      </c>
      <c r="K70" t="n">
        <v>1.4349</v>
      </c>
      <c r="N70" t="n">
        <v>1</v>
      </c>
      <c r="O70" t="inlineStr">
        <is>
          <t>turns</t>
        </is>
      </c>
      <c r="S70" t="inlineStr">
        <is>
          <t>done</t>
        </is>
      </c>
      <c r="T70" t="inlineStr">
        <is>
          <t>whole session $3.1725 over 5 turns (ceiling); 2026-10-03T09:41 to 2026-10-03T20:21</t>
        </is>
      </c>
    </row>
    <row r="71">
      <c r="A71" t="inlineStr">
        <is>
          <t>2026-10-03</t>
        </is>
      </c>
      <c r="B71" t="inlineStr">
        <is>
          <t>agent session</t>
        </is>
      </c>
      <c r="C71" t="inlineStr">
        <is>
          <t>agent interactive</t>
        </is>
      </c>
      <c r="D71" t="inlineStr">
        <is>
          <t>-Users-sangit-src-jaci/da473c5b-5876-4269-8b39-9256430fd67e</t>
        </is>
      </c>
      <c r="E71" t="inlineStr">
        <is>
          <t>claude-opus-5-5=263.24;claude-sonnet-5-5=2.18</t>
        </is>
      </c>
      <c r="K71" t="n">
        <v>188.6103</v>
      </c>
      <c r="N71" t="n">
        <v>80</v>
      </c>
      <c r="O71" t="inlineStr">
        <is>
          <t>turns</t>
        </is>
      </c>
      <c r="S71" t="inlineStr">
        <is>
          <t>done</t>
        </is>
      </c>
      <c r="T71" t="inlineStr">
        <is>
          <t>whole session $270.4264 over 142 turns (ceiling); 2026-10-03T22:22 to 2026-10-10T02:05</t>
        </is>
      </c>
    </row>
    <row r="72">
      <c r="A72" t="inlineStr">
        <is>
          <t>2026-10-04</t>
        </is>
      </c>
      <c r="B72" t="inlineStr">
        <is>
          <t>agent session</t>
        </is>
      </c>
      <c r="C72" t="inlineStr">
        <is>
          <t>agent interactive</t>
        </is>
      </c>
      <c r="D72" t="inlineStr">
        <is>
          <t>-Users-sangit-src-japes/e794d52a-286c-4d9a-b2df-be058259d881</t>
        </is>
      </c>
      <c r="E72" t="inlineStr">
        <is>
          <t>claude-sonnet-5-5=98.12</t>
        </is>
      </c>
      <c r="K72" t="n">
        <v>40.5093</v>
      </c>
      <c r="N72" t="n">
        <v>10</v>
      </c>
      <c r="O72" t="inlineStr">
        <is>
          <t>turns</t>
        </is>
      </c>
      <c r="S72" t="inlineStr">
        <is>
          <t>done</t>
        </is>
      </c>
      <c r="T72" t="inlineStr">
        <is>
          <t>whole session $98.8907 over 53 turns (ceiling); 2026-10-04T20:02 to 2026-10-05T19:21</t>
        </is>
      </c>
    </row>
    <row r="73">
      <c r="A73" t="inlineStr">
        <is>
          <t>2026-10-05</t>
        </is>
      </c>
      <c r="B73" t="inlineStr">
        <is>
          <t>agent session</t>
        </is>
      </c>
      <c r="C73" t="inlineStr">
        <is>
          <t>agent interactive</t>
        </is>
      </c>
      <c r="D73" t="inlineStr">
        <is>
          <t>-Users-sangit-src-japes/82668d2f-1901-46c5-bfaa-ac09641b3563</t>
        </is>
      </c>
      <c r="E73" t="inlineStr">
        <is>
          <t>claude-sonnet-5-5=413.72</t>
        </is>
      </c>
      <c r="K73" t="n">
        <v>340.325</v>
      </c>
      <c r="N73" t="n">
        <v>102</v>
      </c>
      <c r="O73" t="inlineStr">
        <is>
          <t>turns</t>
        </is>
      </c>
      <c r="S73" t="inlineStr">
        <is>
          <t>done</t>
        </is>
      </c>
      <c r="T73" t="inlineStr">
        <is>
          <t>whole session $414.2379 over 194 turns (ceiling); 2026-10-05T19:21 to 2026-10-11T05:24</t>
        </is>
      </c>
    </row>
    <row r="74">
      <c r="A74" t="inlineStr">
        <is>
          <t>2026-10-07</t>
        </is>
      </c>
      <c r="B74" t="inlineStr">
        <is>
          <t>extraction</t>
        </is>
      </c>
      <c r="C74" t="inlineStr">
        <is>
          <t>extract catalog</t>
        </is>
      </c>
      <c r="D74" t="inlineStr">
        <is>
          <t>60349ce3b6fa4db1890a01f91d78d73b</t>
        </is>
      </c>
      <c r="E74" t="inlineStr">
        <is>
          <t>flex_gpt-6-luna</t>
        </is>
      </c>
      <c r="F74" t="n">
        <v>30</v>
      </c>
      <c r="G74" t="n">
        <v>90</v>
      </c>
      <c r="H74" t="n">
        <v>43281</v>
      </c>
      <c r="I74" t="n">
        <v>0</v>
      </c>
      <c r="J74" t="n">
        <v>48771</v>
      </c>
      <c r="K74" t="n">
        <v>0.02770212499999999</v>
      </c>
      <c r="L74" t="b">
        <v>0</v>
      </c>
      <c r="M74" t="n">
        <v>3.8</v>
      </c>
      <c r="N74" t="n">
        <v>30</v>
      </c>
      <c r="O74" t="inlineStr">
        <is>
          <t>parts</t>
        </is>
      </c>
      <c r="P74" t="n">
        <v>471</v>
      </c>
      <c r="Q74" t="inlineStr">
        <is>
          <t>proposals</t>
        </is>
      </c>
      <c r="R74" t="n">
        <v>22021</v>
      </c>
      <c r="S74" t="inlineStr">
        <is>
          <t>succeeded</t>
        </is>
      </c>
      <c r="T74" t="inlineStr">
        <is>
          <t>acra-dscr-policy catalog; 0 parts failed</t>
        </is>
      </c>
    </row>
    <row r="75">
      <c r="A75" t="inlineStr">
        <is>
          <t>2026-10-08</t>
        </is>
      </c>
      <c r="B75" t="inlineStr">
        <is>
          <t>extraction</t>
        </is>
      </c>
      <c r="C75" t="inlineStr">
        <is>
          <t>extract jtbd</t>
        </is>
      </c>
      <c r="D75" t="inlineStr">
        <is>
          <t>6bd4c96b67714ceaa3e6497df2015348</t>
        </is>
      </c>
      <c r="E75" t="inlineStr">
        <is>
          <t>flex_gpt-6-luna</t>
        </is>
      </c>
      <c r="F75" t="n">
        <v>11</v>
      </c>
      <c r="G75" t="n">
        <v>33</v>
      </c>
      <c r="H75" t="n">
        <v>21406</v>
      </c>
      <c r="I75" t="n">
        <v>0</v>
      </c>
      <c r="J75" t="n">
        <v>22424</v>
      </c>
      <c r="K75" t="n">
        <v>0.0140454625</v>
      </c>
      <c r="L75" t="b">
        <v>0</v>
      </c>
      <c r="M75" t="n">
        <v>49.9</v>
      </c>
      <c r="N75" t="n">
        <v>11</v>
      </c>
      <c r="O75" t="inlineStr">
        <is>
          <t>parts</t>
        </is>
      </c>
      <c r="P75" t="n">
        <v>52</v>
      </c>
      <c r="Q75" t="inlineStr">
        <is>
          <t>proposals</t>
        </is>
      </c>
      <c r="R75" t="n">
        <v>10220</v>
      </c>
      <c r="S75" t="inlineStr">
        <is>
          <t>succeeded</t>
        </is>
      </c>
      <c r="T75" t="inlineStr">
        <is>
          <t>acra-dscr-policy acra-platinum; 1 parts failed</t>
        </is>
      </c>
    </row>
    <row r="76">
      <c r="A76" t="inlineStr">
        <is>
          <t>2026-10-09</t>
        </is>
      </c>
      <c r="B76" t="inlineStr">
        <is>
          <t>analysis</t>
        </is>
      </c>
      <c r="C76" t="inlineStr">
        <is>
          <t>review coverage</t>
        </is>
      </c>
      <c r="D76" t="inlineStr">
        <is>
          <t>coverage/coverage_report.json</t>
        </is>
      </c>
      <c r="E76" t="inlineStr"/>
      <c r="F76" t="n">
        <v>98</v>
      </c>
      <c r="G76" t="n">
        <v>100950</v>
      </c>
      <c r="H76" t="n">
        <v>6625</v>
      </c>
      <c r="K76" t="n">
        <v>0.0283</v>
      </c>
      <c r="L76" t="b">
        <v>0</v>
      </c>
      <c r="N76" t="n">
        <v>159</v>
      </c>
      <c r="O76" t="inlineStr">
        <is>
          <t>items</t>
        </is>
      </c>
      <c r="Q76" t="inlineStr"/>
      <c r="S76" t="inlineStr">
        <is>
          <t>done</t>
        </is>
      </c>
      <c r="T76" t="inlineStr"/>
    </row>
    <row r="77">
      <c r="A77" t="inlineStr">
        <is>
          <t>2026-10-09</t>
        </is>
      </c>
      <c r="B77" t="inlineStr">
        <is>
          <t>evaluation</t>
        </is>
      </c>
      <c r="C77" t="inlineStr">
        <is>
          <t>eval case_run</t>
        </is>
      </c>
      <c r="D77" t="inlineStr">
        <is>
          <t>4e78730b32174b24912c896a007a32e4</t>
        </is>
      </c>
      <c r="E77" t="inlineStr"/>
      <c r="F77" t="n">
        <v>26</v>
      </c>
      <c r="G77" t="n">
        <v>153928</v>
      </c>
      <c r="H77" t="n">
        <v>12059</v>
      </c>
      <c r="I77" t="n">
        <v>19712</v>
      </c>
      <c r="J77" t="n">
        <v>0</v>
      </c>
      <c r="K77" t="n">
        <v>0.2853165</v>
      </c>
      <c r="L77" t="b">
        <v>0</v>
      </c>
      <c r="M77" t="n">
        <v>1</v>
      </c>
      <c r="N77" t="n">
        <v>5</v>
      </c>
      <c r="O77" t="inlineStr">
        <is>
          <t>cases</t>
        </is>
      </c>
      <c r="P77" t="n">
        <v>5</v>
      </c>
      <c r="Q77" t="inlineStr">
        <is>
          <t>passed</t>
        </is>
      </c>
      <c r="S77" t="inlineStr">
        <is>
          <t>completed</t>
        </is>
      </c>
      <c r="T77" t="inlineStr">
        <is>
          <t>dscr 0.2.11 pack models 20261009_220210; pass rate 1.0</t>
        </is>
      </c>
    </row>
    <row r="78">
      <c r="A78" t="inlineStr">
        <is>
          <t>2026-10-09</t>
        </is>
      </c>
      <c r="B78" t="inlineStr">
        <is>
          <t>evaluation</t>
        </is>
      </c>
      <c r="C78" t="inlineStr">
        <is>
          <t>eval case_run</t>
        </is>
      </c>
      <c r="D78" t="inlineStr">
        <is>
          <t>f348038ac01e4f74acbfa4a01b8b0f65</t>
        </is>
      </c>
      <c r="E78" t="inlineStr"/>
      <c r="F78" t="n">
        <v>25</v>
      </c>
      <c r="G78" t="n">
        <v>147937</v>
      </c>
      <c r="H78" t="n">
        <v>13024</v>
      </c>
      <c r="I78" t="n">
        <v>17920</v>
      </c>
      <c r="J78" t="n">
        <v>0</v>
      </c>
      <c r="K78" t="n">
        <v>0.28484125</v>
      </c>
      <c r="L78" t="b">
        <v>0</v>
      </c>
      <c r="M78" t="n">
        <v>1</v>
      </c>
      <c r="N78" t="n">
        <v>5</v>
      </c>
      <c r="O78" t="inlineStr">
        <is>
          <t>cases</t>
        </is>
      </c>
      <c r="P78" t="n">
        <v>5</v>
      </c>
      <c r="Q78" t="inlineStr">
        <is>
          <t>passed</t>
        </is>
      </c>
      <c r="S78" t="inlineStr">
        <is>
          <t>completed</t>
        </is>
      </c>
      <c r="T78" t="inlineStr">
        <is>
          <t>dscr 0.2.11 pack models 20261009_220058; pass rate 1.0</t>
        </is>
      </c>
    </row>
    <row r="79">
      <c r="A79" t="inlineStr">
        <is>
          <t>2026-10-09</t>
        </is>
      </c>
      <c r="B79" t="inlineStr">
        <is>
          <t>evaluation</t>
        </is>
      </c>
      <c r="C79" t="inlineStr">
        <is>
          <t>eval case_run</t>
        </is>
      </c>
      <c r="D79" t="inlineStr">
        <is>
          <t>bc427e179204438a86a00ef7622d2d85</t>
        </is>
      </c>
      <c r="E79" t="inlineStr"/>
      <c r="F79" t="n">
        <v>29</v>
      </c>
      <c r="G79" t="n">
        <v>182612</v>
      </c>
      <c r="H79" t="n">
        <v>16208</v>
      </c>
      <c r="I79" t="n">
        <v>17920</v>
      </c>
      <c r="J79" t="n">
        <v>0</v>
      </c>
      <c r="K79" t="n">
        <v>0.352065</v>
      </c>
      <c r="L79" t="b">
        <v>0</v>
      </c>
      <c r="M79" t="n">
        <v>1.1</v>
      </c>
      <c r="N79" t="n">
        <v>5</v>
      </c>
      <c r="O79" t="inlineStr">
        <is>
          <t>cases</t>
        </is>
      </c>
      <c r="P79" t="n">
        <v>5</v>
      </c>
      <c r="Q79" t="inlineStr">
        <is>
          <t>passed</t>
        </is>
      </c>
      <c r="S79" t="inlineStr">
        <is>
          <t>completed</t>
        </is>
      </c>
      <c r="T79" t="inlineStr">
        <is>
          <t>dscr 0.2.11 pack models 20261009_215813; pass rate 1.0</t>
        </is>
      </c>
    </row>
    <row r="80">
      <c r="A80" t="inlineStr">
        <is>
          <t>2026-10-09</t>
        </is>
      </c>
      <c r="B80" t="inlineStr">
        <is>
          <t>evaluation</t>
        </is>
      </c>
      <c r="C80" t="inlineStr">
        <is>
          <t>eval case_run</t>
        </is>
      </c>
      <c r="D80" t="inlineStr">
        <is>
          <t>ef8895e45bde4740b34c41c27808192b</t>
        </is>
      </c>
      <c r="E80" t="inlineStr"/>
      <c r="F80" t="n">
        <v>25</v>
      </c>
      <c r="G80" t="n">
        <v>152860</v>
      </c>
      <c r="H80" t="n">
        <v>13301</v>
      </c>
      <c r="I80" t="n">
        <v>17920</v>
      </c>
      <c r="J80" t="n">
        <v>0</v>
      </c>
      <c r="K80" t="n">
        <v>0.2930725</v>
      </c>
      <c r="L80" t="b">
        <v>0</v>
      </c>
      <c r="M80" t="n">
        <v>1</v>
      </c>
      <c r="N80" t="n">
        <v>5</v>
      </c>
      <c r="O80" t="inlineStr">
        <is>
          <t>cases</t>
        </is>
      </c>
      <c r="P80" t="n">
        <v>5</v>
      </c>
      <c r="Q80" t="inlineStr">
        <is>
          <t>passed</t>
        </is>
      </c>
      <c r="S80" t="inlineStr">
        <is>
          <t>completed</t>
        </is>
      </c>
      <c r="T80" t="inlineStr">
        <is>
          <t>dscr 0.2.11 pack models 20261009_215712; pass rate 1.0</t>
        </is>
      </c>
    </row>
    <row r="81">
      <c r="A81" t="inlineStr">
        <is>
          <t>2026-10-09</t>
        </is>
      </c>
      <c r="B81" t="inlineStr">
        <is>
          <t>evaluation</t>
        </is>
      </c>
      <c r="C81" t="inlineStr">
        <is>
          <t>eval case_run</t>
        </is>
      </c>
      <c r="D81" t="inlineStr">
        <is>
          <t>37c6bccd49764b618d1f507bdfe1ceea</t>
        </is>
      </c>
      <c r="E81" t="inlineStr"/>
      <c r="F81" t="n">
        <v>25</v>
      </c>
      <c r="G81" t="n">
        <v>159479</v>
      </c>
      <c r="H81" t="n">
        <v>14854</v>
      </c>
      <c r="I81" t="n">
        <v>8960</v>
      </c>
      <c r="J81" t="n">
        <v>0</v>
      </c>
      <c r="K81" t="n">
        <v>0.31187375</v>
      </c>
      <c r="L81" t="b">
        <v>0</v>
      </c>
      <c r="M81" t="n">
        <v>1.3</v>
      </c>
      <c r="N81" t="n">
        <v>5</v>
      </c>
      <c r="O81" t="inlineStr">
        <is>
          <t>cases</t>
        </is>
      </c>
      <c r="P81" t="n">
        <v>5</v>
      </c>
      <c r="Q81" t="inlineStr">
        <is>
          <t>passed</t>
        </is>
      </c>
      <c r="S81" t="inlineStr">
        <is>
          <t>completed</t>
        </is>
      </c>
      <c r="T81" t="inlineStr">
        <is>
          <t>dscr 0.2.10 pack models 20261009_215238; pass rate 1.0</t>
        </is>
      </c>
    </row>
    <row r="82">
      <c r="A82" t="inlineStr">
        <is>
          <t>2026-10-09</t>
        </is>
      </c>
      <c r="B82" t="inlineStr">
        <is>
          <t>extraction</t>
        </is>
      </c>
      <c r="C82" t="inlineStr">
        <is>
          <t>extract jtbd</t>
        </is>
      </c>
      <c r="D82" t="inlineStr">
        <is>
          <t>230d154279954989a45fa50d487f4413</t>
        </is>
      </c>
      <c r="E82" t="inlineStr">
        <is>
          <t>flex_gpt-6-luna</t>
        </is>
      </c>
      <c r="F82" t="n">
        <v>11</v>
      </c>
      <c r="G82" t="n">
        <v>33</v>
      </c>
      <c r="H82" t="n">
        <v>26552</v>
      </c>
      <c r="I82" t="n">
        <v>19460</v>
      </c>
      <c r="J82" t="n">
        <v>22723</v>
      </c>
      <c r="K82" t="n">
        <v>0.0147555125</v>
      </c>
      <c r="L82" t="b">
        <v>0</v>
      </c>
      <c r="M82" t="n">
        <v>178.9</v>
      </c>
      <c r="N82" t="n">
        <v>13</v>
      </c>
      <c r="O82" t="inlineStr">
        <is>
          <t>parts</t>
        </is>
      </c>
      <c r="P82" t="n">
        <v>56</v>
      </c>
      <c r="Q82" t="inlineStr">
        <is>
          <t>proposals</t>
        </is>
      </c>
      <c r="R82" t="n">
        <v>11801</v>
      </c>
      <c r="S82" t="inlineStr">
        <is>
          <t>succeeded</t>
        </is>
      </c>
      <c r="T82" t="inlineStr">
        <is>
          <t>acra-dscr-policy acra-standard; 3 parts failed</t>
        </is>
      </c>
    </row>
    <row r="83">
      <c r="A83" t="inlineStr">
        <is>
          <t>2026-10-09</t>
        </is>
      </c>
      <c r="B83" t="inlineStr">
        <is>
          <t>extraction</t>
        </is>
      </c>
      <c r="C83" t="inlineStr">
        <is>
          <t>extract python</t>
        </is>
      </c>
      <c r="D83" t="inlineStr">
        <is>
          <t>fa8c83748a0f4cf4a5019c956badf224</t>
        </is>
      </c>
      <c r="E83" t="inlineStr">
        <is>
          <t>flex_gpt-6-luna</t>
        </is>
      </c>
      <c r="F83" t="n">
        <v>39</v>
      </c>
      <c r="G83" t="n">
        <v>11211</v>
      </c>
      <c r="H83" t="n">
        <v>17711</v>
      </c>
      <c r="I83" t="n">
        <v>5391</v>
      </c>
      <c r="J83" t="n">
        <v>51442</v>
      </c>
      <c r="K83" t="n">
        <v>0.01940163</v>
      </c>
      <c r="L83" t="b">
        <v>0</v>
      </c>
      <c r="M83" t="n">
        <v>199.4</v>
      </c>
      <c r="N83" t="n">
        <v>42</v>
      </c>
      <c r="O83" t="inlineStr">
        <is>
          <t>parts</t>
        </is>
      </c>
      <c r="P83" t="n">
        <v>25</v>
      </c>
      <c r="Q83" t="inlineStr">
        <is>
          <t>proposals</t>
        </is>
      </c>
      <c r="R83" t="n">
        <v>10220</v>
      </c>
      <c r="S83" t="inlineStr">
        <is>
          <t>succeeded</t>
        </is>
      </c>
      <c r="T83" t="inlineStr">
        <is>
          <t>acra-dscr-policy acra-platinum; 3 parts failed</t>
        </is>
      </c>
    </row>
    <row r="84">
      <c r="A84" t="inlineStr">
        <is>
          <t>2026-10-09</t>
        </is>
      </c>
      <c r="B84" t="inlineStr">
        <is>
          <t>extraction</t>
        </is>
      </c>
      <c r="C84" t="inlineStr">
        <is>
          <t>extract python</t>
        </is>
      </c>
      <c r="D84" t="inlineStr">
        <is>
          <t>53ed2625f6564984a0c3ea93e751dd9f</t>
        </is>
      </c>
      <c r="E84" t="inlineStr">
        <is>
          <t>flex_gpt-6-luna</t>
        </is>
      </c>
      <c r="F84" t="n">
        <v>48</v>
      </c>
      <c r="G84" t="n">
        <v>15034</v>
      </c>
      <c r="H84" t="n">
        <v>31473</v>
      </c>
      <c r="I84" t="n">
        <v>0</v>
      </c>
      <c r="J84" t="n">
        <v>65254</v>
      </c>
      <c r="K84" t="n">
        <v>0.0271902</v>
      </c>
      <c r="L84" t="b">
        <v>0</v>
      </c>
      <c r="M84" t="n">
        <v>28</v>
      </c>
      <c r="N84" t="n">
        <v>48</v>
      </c>
      <c r="O84" t="inlineStr">
        <is>
          <t>parts</t>
        </is>
      </c>
      <c r="P84" t="n">
        <v>26</v>
      </c>
      <c r="Q84" t="inlineStr">
        <is>
          <t>proposals</t>
        </is>
      </c>
      <c r="R84" t="n">
        <v>11801</v>
      </c>
      <c r="S84" t="inlineStr">
        <is>
          <t>succeeded</t>
        </is>
      </c>
      <c r="T84" t="inlineStr">
        <is>
          <t>acra-dscr-policy acra-standard; 0 parts failed</t>
        </is>
      </c>
    </row>
    <row r="85">
      <c r="A85" t="inlineStr">
        <is>
          <t>2026-10-10</t>
        </is>
      </c>
      <c r="B85" t="inlineStr">
        <is>
          <t>evaluation</t>
        </is>
      </c>
      <c r="C85" t="inlineStr">
        <is>
          <t>eval case_run</t>
        </is>
      </c>
      <c r="D85" t="inlineStr">
        <is>
          <t>babe3a7db2ed4075a90dc0fb63e7cf86</t>
        </is>
      </c>
      <c r="E85" t="inlineStr"/>
      <c r="F85" t="n">
        <v>28</v>
      </c>
      <c r="G85" t="n">
        <v>84</v>
      </c>
      <c r="H85" t="n">
        <v>13639</v>
      </c>
      <c r="I85" t="n">
        <v>14072</v>
      </c>
      <c r="J85" t="n">
        <v>10241</v>
      </c>
      <c r="K85" t="n">
        <v>0.0175411225</v>
      </c>
      <c r="L85" t="b">
        <v>0</v>
      </c>
      <c r="M85" t="n">
        <v>1.5</v>
      </c>
      <c r="N85" t="n">
        <v>5</v>
      </c>
      <c r="O85" t="inlineStr">
        <is>
          <t>cases</t>
        </is>
      </c>
      <c r="P85" t="n">
        <v>5</v>
      </c>
      <c r="Q85" t="inlineStr">
        <is>
          <t>passed</t>
        </is>
      </c>
      <c r="S85" t="inlineStr">
        <is>
          <t>completed</t>
        </is>
      </c>
      <c r="T85" t="inlineStr">
        <is>
          <t>dscr 0.2.14 pack models 20261010_012411; pass rate 1.0</t>
        </is>
      </c>
    </row>
    <row r="86">
      <c r="A86" t="inlineStr">
        <is>
          <t>2026-10-10</t>
        </is>
      </c>
      <c r="B86" t="inlineStr">
        <is>
          <t>evaluation</t>
        </is>
      </c>
      <c r="C86" t="inlineStr">
        <is>
          <t>eval case_run</t>
        </is>
      </c>
      <c r="D86" t="inlineStr">
        <is>
          <t>581504b89e0c42cdb9f36e1b29adbf00</t>
        </is>
      </c>
      <c r="E86" t="inlineStr"/>
      <c r="F86" t="n">
        <v>28</v>
      </c>
      <c r="G86" t="n">
        <v>84</v>
      </c>
      <c r="H86" t="n">
        <v>13622</v>
      </c>
      <c r="I86" t="n">
        <v>52373</v>
      </c>
      <c r="J86" t="n">
        <v>9315</v>
      </c>
      <c r="K86" t="n">
        <v>0.0154090025</v>
      </c>
      <c r="L86" t="b">
        <v>0</v>
      </c>
      <c r="M86" t="n">
        <v>32.8</v>
      </c>
      <c r="N86" t="n">
        <v>5</v>
      </c>
      <c r="O86" t="inlineStr">
        <is>
          <t>cases</t>
        </is>
      </c>
      <c r="P86" t="n">
        <v>5</v>
      </c>
      <c r="Q86" t="inlineStr">
        <is>
          <t>passed</t>
        </is>
      </c>
      <c r="S86" t="inlineStr">
        <is>
          <t>completed</t>
        </is>
      </c>
      <c r="T86" t="inlineStr">
        <is>
          <t>dscr 0.2.14 pack models 20261010_005119; pass rate 1.0</t>
        </is>
      </c>
    </row>
    <row r="87">
      <c r="A87" t="inlineStr">
        <is>
          <t>2026-10-10</t>
        </is>
      </c>
      <c r="B87" t="inlineStr">
        <is>
          <t>evaluation</t>
        </is>
      </c>
      <c r="C87" t="inlineStr">
        <is>
          <t>eval case_run</t>
        </is>
      </c>
      <c r="D87" t="inlineStr">
        <is>
          <t>a69386bedc1b41b08b96e7c0da73a0da</t>
        </is>
      </c>
      <c r="E87" t="inlineStr"/>
      <c r="F87" t="n">
        <v>38</v>
      </c>
      <c r="G87" t="n">
        <v>114</v>
      </c>
      <c r="H87" t="n">
        <v>20283</v>
      </c>
      <c r="I87" t="n">
        <v>0</v>
      </c>
      <c r="J87" t="n">
        <v>17285</v>
      </c>
      <c r="K87" t="n">
        <v>0.0251028875</v>
      </c>
      <c r="L87" t="b">
        <v>0</v>
      </c>
      <c r="M87" t="n">
        <v>1.8</v>
      </c>
      <c r="N87" t="n">
        <v>5</v>
      </c>
      <c r="O87" t="inlineStr">
        <is>
          <t>cases</t>
        </is>
      </c>
      <c r="P87" t="n">
        <v>5</v>
      </c>
      <c r="Q87" t="inlineStr">
        <is>
          <t>passed</t>
        </is>
      </c>
      <c r="S87" t="inlineStr">
        <is>
          <t>completed</t>
        </is>
      </c>
      <c r="T87" t="inlineStr">
        <is>
          <t>dscr 0.2.13 pack models 20261010_004702; pass rate 1.0</t>
        </is>
      </c>
    </row>
    <row r="88">
      <c r="A88" t="inlineStr">
        <is>
          <t>2026-10-10</t>
        </is>
      </c>
      <c r="B88" t="inlineStr">
        <is>
          <t>evaluation</t>
        </is>
      </c>
      <c r="C88" t="inlineStr">
        <is>
          <t>eval case_run</t>
        </is>
      </c>
      <c r="D88" t="inlineStr">
        <is>
          <t>de49a4e16ce340bf944f41c4a86d5736</t>
        </is>
      </c>
      <c r="E88" t="inlineStr"/>
      <c r="F88" t="n">
        <v>34</v>
      </c>
      <c r="G88" t="n">
        <v>102</v>
      </c>
      <c r="H88" t="n">
        <v>16828</v>
      </c>
      <c r="I88" t="n">
        <v>13345</v>
      </c>
      <c r="J88" t="n">
        <v>14924</v>
      </c>
      <c r="K88" t="n">
        <v>0.0217102625</v>
      </c>
      <c r="L88" t="b">
        <v>0</v>
      </c>
      <c r="M88" t="n">
        <v>2</v>
      </c>
      <c r="N88" t="n">
        <v>5</v>
      </c>
      <c r="O88" t="inlineStr">
        <is>
          <t>cases</t>
        </is>
      </c>
      <c r="P88" t="n">
        <v>5</v>
      </c>
      <c r="Q88" t="inlineStr">
        <is>
          <t>passed</t>
        </is>
      </c>
      <c r="S88" t="inlineStr">
        <is>
          <t>completed</t>
        </is>
      </c>
      <c r="T88" t="inlineStr">
        <is>
          <t>dscr 0.2.13 pack models 20261010_004501; pass rate 1.0</t>
        </is>
      </c>
    </row>
    <row r="89">
      <c r="A89" t="inlineStr">
        <is>
          <t>2026-10-10</t>
        </is>
      </c>
      <c r="B89" t="inlineStr">
        <is>
          <t>evaluation</t>
        </is>
      </c>
      <c r="C89" t="inlineStr">
        <is>
          <t>eval case_run</t>
        </is>
      </c>
      <c r="D89" t="inlineStr">
        <is>
          <t>4d4d0a4884514d39b93ad4097f65713a</t>
        </is>
      </c>
      <c r="E89" t="inlineStr"/>
      <c r="F89" t="n">
        <v>40</v>
      </c>
      <c r="G89" t="n">
        <v>120</v>
      </c>
      <c r="H89" t="n">
        <v>23092</v>
      </c>
      <c r="I89" t="n">
        <v>13807</v>
      </c>
      <c r="J89" t="n">
        <v>20086</v>
      </c>
      <c r="K89" t="n">
        <v>0.0269248475</v>
      </c>
      <c r="L89" t="b">
        <v>0</v>
      </c>
      <c r="M89" t="n">
        <v>2.2</v>
      </c>
      <c r="N89" t="n">
        <v>5</v>
      </c>
      <c r="O89" t="inlineStr">
        <is>
          <t>cases</t>
        </is>
      </c>
      <c r="P89" t="n">
        <v>5</v>
      </c>
      <c r="Q89" t="inlineStr">
        <is>
          <t>passed</t>
        </is>
      </c>
      <c r="S89" t="inlineStr">
        <is>
          <t>completed</t>
        </is>
      </c>
      <c r="T89" t="inlineStr">
        <is>
          <t>dscr 0.2.12 pack models 20261010_003729; pass rate 1.0</t>
        </is>
      </c>
    </row>
    <row r="90">
      <c r="A90" t="inlineStr">
        <is>
          <t>2026-10-10</t>
        </is>
      </c>
      <c r="B90" t="inlineStr">
        <is>
          <t>evaluation</t>
        </is>
      </c>
      <c r="C90" t="inlineStr">
        <is>
          <t>eval case_run</t>
        </is>
      </c>
      <c r="D90" t="inlineStr">
        <is>
          <t>49bb6f48c31a4a6e852bb39e6bc25cb4</t>
        </is>
      </c>
      <c r="E90" t="inlineStr"/>
      <c r="F90" t="n">
        <v>39</v>
      </c>
      <c r="G90" t="n">
        <v>117</v>
      </c>
      <c r="H90" t="n">
        <v>20431</v>
      </c>
      <c r="I90" t="n">
        <v>13185</v>
      </c>
      <c r="J90" t="n">
        <v>16963</v>
      </c>
      <c r="K90" t="n">
        <v>0.0251254625</v>
      </c>
      <c r="L90" t="b">
        <v>0</v>
      </c>
      <c r="M90" t="n">
        <v>2.2</v>
      </c>
      <c r="N90" t="n">
        <v>5</v>
      </c>
      <c r="O90" t="inlineStr">
        <is>
          <t>cases</t>
        </is>
      </c>
      <c r="P90" t="n">
        <v>5</v>
      </c>
      <c r="Q90" t="inlineStr">
        <is>
          <t>passed</t>
        </is>
      </c>
      <c r="S90" t="inlineStr">
        <is>
          <t>completed</t>
        </is>
      </c>
      <c r="T90" t="inlineStr">
        <is>
          <t>dscr 0.2.12 pack models 20261010_003507; pass rate 1.0</t>
        </is>
      </c>
    </row>
    <row r="91">
      <c r="A91" t="inlineStr">
        <is>
          <t>2026-10-11</t>
        </is>
      </c>
      <c r="B91" t="inlineStr">
        <is>
          <t>agent session</t>
        </is>
      </c>
      <c r="C91" t="inlineStr">
        <is>
          <t>agent headless</t>
        </is>
      </c>
      <c r="D91" t="inlineStr">
        <is>
          <t>-Users-sangit-src-japes/62665ed4-6e82-4566-90db-1726b3727c32</t>
        </is>
      </c>
      <c r="E91" t="inlineStr"/>
      <c r="K91" t="n">
        <v>0</v>
      </c>
      <c r="N91" t="n">
        <v>1</v>
      </c>
      <c r="O91" t="inlineStr">
        <is>
          <t>turns</t>
        </is>
      </c>
      <c r="S91" t="inlineStr">
        <is>
          <t>done</t>
        </is>
      </c>
      <c r="T91" t="inlineStr">
        <is>
          <t>whole session $0.0 over 1 turns (ceiling); 2026-10-11T04:17 to 2026-10-11T04:17</t>
        </is>
      </c>
    </row>
    <row r="92">
      <c r="A92" t="inlineStr">
        <is>
          <t>2026-10-11</t>
        </is>
      </c>
      <c r="B92" t="inlineStr">
        <is>
          <t>agent session</t>
        </is>
      </c>
      <c r="C92" t="inlineStr">
        <is>
          <t>agent headless</t>
        </is>
      </c>
      <c r="D92" t="inlineStr">
        <is>
          <t>-Users-sangit-src-japes/8431e4bc-2ee4-49a2-b2cf-99de12be561a</t>
        </is>
      </c>
      <c r="E92" t="inlineStr">
        <is>
          <t>claude-opus-5-5=3.10</t>
        </is>
      </c>
      <c r="K92" t="n">
        <v>3.1014</v>
      </c>
      <c r="N92" t="n">
        <v>1</v>
      </c>
      <c r="O92" t="inlineStr">
        <is>
          <t>turns</t>
        </is>
      </c>
      <c r="S92" t="inlineStr">
        <is>
          <t>done</t>
        </is>
      </c>
      <c r="T92" t="inlineStr">
        <is>
          <t>whole session $3.1014 over 1 turns (ceiling); 2026-10-11T04:17 to 2026-10-11T04:22</t>
        </is>
      </c>
    </row>
    <row r="93">
      <c r="A93" t="inlineStr">
        <is>
          <t>2026-10-11</t>
        </is>
      </c>
      <c r="B93" t="inlineStr">
        <is>
          <t>agent session</t>
        </is>
      </c>
      <c r="C93" t="inlineStr">
        <is>
          <t>agent headless</t>
        </is>
      </c>
      <c r="D93" t="inlineStr">
        <is>
          <t>-Users-sangit-src-japes/a459c5f2-8110-4c88-88f5-15b6dd1a48c0</t>
        </is>
      </c>
      <c r="E93" t="inlineStr"/>
      <c r="K93" t="n">
        <v>0</v>
      </c>
      <c r="N93" t="n">
        <v>1</v>
      </c>
      <c r="O93" t="inlineStr">
        <is>
          <t>turns</t>
        </is>
      </c>
      <c r="S93" t="inlineStr">
        <is>
          <t>done</t>
        </is>
      </c>
      <c r="T93" t="inlineStr">
        <is>
          <t>whole session $0.0 over 1 turns (ceiling); 2026-10-11T04:17 to 2026-10-11T04:17</t>
        </is>
      </c>
    </row>
    <row r="94">
      <c r="A94" t="inlineStr">
        <is>
          <t>2026-10-11</t>
        </is>
      </c>
      <c r="B94" t="inlineStr">
        <is>
          <t>agent session</t>
        </is>
      </c>
      <c r="C94" t="inlineStr">
        <is>
          <t>agent headless</t>
        </is>
      </c>
      <c r="D94" t="inlineStr">
        <is>
          <t>-Users-sangit-src-japes/dae469fd-c5e0-4818-bbd9-9b714d4b7e5e</t>
        </is>
      </c>
      <c r="E94" t="inlineStr"/>
      <c r="K94" t="n">
        <v>0</v>
      </c>
      <c r="N94" t="n">
        <v>1</v>
      </c>
      <c r="O94" t="inlineStr">
        <is>
          <t>turns</t>
        </is>
      </c>
      <c r="S94" t="inlineStr">
        <is>
          <t>done</t>
        </is>
      </c>
      <c r="T94" t="inlineStr">
        <is>
          <t>whole session $0.0 over 1 turns (ceiling); 2026-10-11T04:17 to 2026-10-11T04:17</t>
        </is>
      </c>
    </row>
    <row r="95">
      <c r="A95" t="inlineStr">
        <is>
          <t>2026-10-11</t>
        </is>
      </c>
      <c r="B95" t="inlineStr">
        <is>
          <t>agent session</t>
        </is>
      </c>
      <c r="C95" t="inlineStr">
        <is>
          <t>agent headless</t>
        </is>
      </c>
      <c r="D95" t="inlineStr">
        <is>
          <t>-Users-sangit-src-japes/44bc8b9f-0f73-4842-a70f-fd5f33bd58cc</t>
        </is>
      </c>
      <c r="E95" t="inlineStr">
        <is>
          <t>claude-opus-5-5=1.50</t>
        </is>
      </c>
      <c r="K95" t="n">
        <v>1.5046</v>
      </c>
      <c r="N95" t="n">
        <v>1</v>
      </c>
      <c r="O95" t="inlineStr">
        <is>
          <t>turns</t>
        </is>
      </c>
      <c r="S95" t="inlineStr">
        <is>
          <t>done</t>
        </is>
      </c>
      <c r="T95" t="inlineStr">
        <is>
          <t>whole session $1.5046 over 1 turns (ceiling); 2026-10-11T04:29 to 2026-10-11T04:30</t>
        </is>
      </c>
    </row>
    <row r="96">
      <c r="A96" t="inlineStr">
        <is>
          <t>2026-10-11</t>
        </is>
      </c>
      <c r="B96" t="inlineStr">
        <is>
          <t>agent session</t>
        </is>
      </c>
      <c r="C96" t="inlineStr">
        <is>
          <t>agent headless</t>
        </is>
      </c>
      <c r="D96" t="inlineStr">
        <is>
          <t>-Users-sangit-src-japes/866b8a9e-1535-4882-9db9-b8ad16ec00d6</t>
        </is>
      </c>
      <c r="E96" t="inlineStr">
        <is>
          <t>claude-opus-5-5=0.56</t>
        </is>
      </c>
      <c r="K96" t="n">
        <v>0.5603</v>
      </c>
      <c r="N96" t="n">
        <v>1</v>
      </c>
      <c r="O96" t="inlineStr">
        <is>
          <t>turns</t>
        </is>
      </c>
      <c r="S96" t="inlineStr">
        <is>
          <t>done</t>
        </is>
      </c>
      <c r="T96" t="inlineStr">
        <is>
          <t>whole session $0.5603 over 1 turns (ceiling); 2026-10-11T04:30 to 2026-10-11T04:31</t>
        </is>
      </c>
    </row>
    <row r="97">
      <c r="A97" t="inlineStr">
        <is>
          <t>2026-10-11</t>
        </is>
      </c>
      <c r="B97" t="inlineStr">
        <is>
          <t>agent session</t>
        </is>
      </c>
      <c r="C97" t="inlineStr">
        <is>
          <t>agent headless</t>
        </is>
      </c>
      <c r="D97" t="inlineStr">
        <is>
          <t>-Users-sangit-src-japes/76f4b578-eaf9-4606-a3c6-ca25a4c750e9</t>
        </is>
      </c>
      <c r="E97" t="inlineStr"/>
      <c r="K97" t="n">
        <v>0</v>
      </c>
      <c r="N97" t="n">
        <v>1</v>
      </c>
      <c r="O97" t="inlineStr">
        <is>
          <t>turns</t>
        </is>
      </c>
      <c r="S97" t="inlineStr">
        <is>
          <t>done</t>
        </is>
      </c>
      <c r="T97" t="inlineStr">
        <is>
          <t>whole session $0.0 over 2 turns (ceiling); 2026-10-11T04:36 to 2026-10-11T04:38</t>
        </is>
      </c>
    </row>
    <row r="98">
      <c r="A98" t="inlineStr">
        <is>
          <t>2026-10-11</t>
        </is>
      </c>
      <c r="B98" t="inlineStr">
        <is>
          <t>agent session</t>
        </is>
      </c>
      <c r="C98" t="inlineStr">
        <is>
          <t>agent headless</t>
        </is>
      </c>
      <c r="D98" t="inlineStr">
        <is>
          <t>-Users-sangit-src-japes/363b3d03-7867-4204-bd30-13d5c29a4bf9</t>
        </is>
      </c>
      <c r="E98" t="inlineStr"/>
      <c r="K98" t="n">
        <v>0</v>
      </c>
      <c r="N98" t="n">
        <v>1</v>
      </c>
      <c r="O98" t="inlineStr">
        <is>
          <t>turns</t>
        </is>
      </c>
      <c r="S98" t="inlineStr">
        <is>
          <t>done</t>
        </is>
      </c>
      <c r="T98" t="inlineStr">
        <is>
          <t>whole session $0.0 over 2 turns (ceiling); 2026-10-11T04:38 to 2026-10-11T04:38</t>
        </is>
      </c>
    </row>
    <row r="99">
      <c r="A99" t="inlineStr">
        <is>
          <t>2026-10-11</t>
        </is>
      </c>
      <c r="B99" t="inlineStr">
        <is>
          <t>agent session</t>
        </is>
      </c>
      <c r="C99" t="inlineStr">
        <is>
          <t>agent headless</t>
        </is>
      </c>
      <c r="D99" t="inlineStr">
        <is>
          <t>-Users-sangit-src-japes/b58934d2-7929-480c-a50b-a299d345c392</t>
        </is>
      </c>
      <c r="E99" t="inlineStr"/>
      <c r="K99" t="n">
        <v>0</v>
      </c>
      <c r="N99" t="n">
        <v>1</v>
      </c>
      <c r="O99" t="inlineStr">
        <is>
          <t>turns</t>
        </is>
      </c>
      <c r="S99" t="inlineStr">
        <is>
          <t>done</t>
        </is>
      </c>
      <c r="T99" t="inlineStr">
        <is>
          <t>whole session $0.0 over 2 turns (ceiling); 2026-10-11T04:38 to 2026-10-11T04:38</t>
        </is>
      </c>
    </row>
    <row r="100">
      <c r="A100" t="inlineStr">
        <is>
          <t>2026-10-11</t>
        </is>
      </c>
      <c r="B100" t="inlineStr">
        <is>
          <t>agent session</t>
        </is>
      </c>
      <c r="C100" t="inlineStr">
        <is>
          <t>agent headless</t>
        </is>
      </c>
      <c r="D100" t="inlineStr">
        <is>
          <t>-Users-sangit-src-japes/09e7ef6e-3ac2-4548-b0b4-0223c0adebf7</t>
        </is>
      </c>
      <c r="E100" t="inlineStr">
        <is>
          <t>claude-opus-5-5=1.13</t>
        </is>
      </c>
      <c r="K100" t="n">
        <v>1.1279</v>
      </c>
      <c r="N100" t="n">
        <v>1</v>
      </c>
      <c r="O100" t="inlineStr">
        <is>
          <t>turns</t>
        </is>
      </c>
      <c r="S100" t="inlineStr">
        <is>
          <t>done</t>
        </is>
      </c>
      <c r="T100" t="inlineStr">
        <is>
          <t>whole session $1.1279 over 1 turns (ceiling); 2026-10-11T04:39 to 2026-10-11T04:41</t>
        </is>
      </c>
    </row>
    <row r="101">
      <c r="A101" t="inlineStr">
        <is>
          <t>2026-10-11</t>
        </is>
      </c>
      <c r="B101" t="inlineStr">
        <is>
          <t>agent session</t>
        </is>
      </c>
      <c r="C101" t="inlineStr">
        <is>
          <t>agent headless</t>
        </is>
      </c>
      <c r="D101" t="inlineStr">
        <is>
          <t>-Users-sangit-src-japes/c9ffbbf3-f21f-4873-aab5-65b198bf0fa8</t>
        </is>
      </c>
      <c r="E101" t="inlineStr"/>
      <c r="K101" t="n">
        <v>0</v>
      </c>
      <c r="N101" t="n">
        <v>1</v>
      </c>
      <c r="O101" t="inlineStr">
        <is>
          <t>turns</t>
        </is>
      </c>
      <c r="S101" t="inlineStr">
        <is>
          <t>done</t>
        </is>
      </c>
      <c r="T101" t="inlineStr">
        <is>
          <t>whole session $0.0 over 1 turns (ceiling); 2026-10-11T04:39 to 2026-10-11T04:39</t>
        </is>
      </c>
    </row>
    <row r="102">
      <c r="A102" t="inlineStr">
        <is>
          <t>2026-10-11</t>
        </is>
      </c>
      <c r="B102" t="inlineStr">
        <is>
          <t>agent session</t>
        </is>
      </c>
      <c r="C102" t="inlineStr">
        <is>
          <t>agent interactive</t>
        </is>
      </c>
      <c r="D102" t="inlineStr">
        <is>
          <t>-Users-sangit-src-japes/799028e3-b7ae-4c88-b473-8f97d5c293de</t>
        </is>
      </c>
      <c r="E102" t="inlineStr">
        <is>
          <t>claude-opus-5-5=66.55</t>
        </is>
      </c>
      <c r="K102" t="n">
        <v>64.8522</v>
      </c>
      <c r="N102" t="n">
        <v>47</v>
      </c>
      <c r="O102" t="inlineStr">
        <is>
          <t>turns</t>
        </is>
      </c>
      <c r="S102" t="inlineStr">
        <is>
          <t>done</t>
        </is>
      </c>
      <c r="T102" t="inlineStr">
        <is>
          <t>whole session $66.555 over 54 turns (ceiling); 2026-10-11T03:17 to 2026-10-12T05:18</t>
        </is>
      </c>
    </row>
    <row r="103">
      <c r="A103" t="inlineStr">
        <is>
          <t>2026-10-11</t>
        </is>
      </c>
      <c r="B103" t="inlineStr">
        <is>
          <t>agent session</t>
        </is>
      </c>
      <c r="C103" t="inlineStr">
        <is>
          <t>agent interactive</t>
        </is>
      </c>
      <c r="D103" t="inlineStr">
        <is>
          <t>-Users-sangit-src-japes/f4ad2da5-3589-4c7d-bbf8-ffec3ac78a83</t>
        </is>
      </c>
      <c r="E103" t="inlineStr">
        <is>
          <t>claude-sonnet-5-5=10.15</t>
        </is>
      </c>
      <c r="K103" t="n">
        <v>3.873</v>
      </c>
      <c r="N103" t="n">
        <v>11</v>
      </c>
      <c r="O103" t="inlineStr">
        <is>
          <t>turns</t>
        </is>
      </c>
      <c r="S103" t="inlineStr">
        <is>
          <t>done</t>
        </is>
      </c>
      <c r="T103" t="inlineStr">
        <is>
          <t>whole session $10.1502 over 34 turns (ceiling); 2026-10-11T05:26 to 2026-10-12T05:07</t>
        </is>
      </c>
    </row>
    <row r="104">
      <c r="A104" t="inlineStr">
        <is>
          <t>2026-10-11</t>
        </is>
      </c>
      <c r="B104" t="inlineStr">
        <is>
          <t>analysis</t>
        </is>
      </c>
      <c r="C104" t="inlineStr">
        <is>
          <t>review comparison</t>
        </is>
      </c>
      <c r="D104" t="inlineStr">
        <is>
          <t>coverage/review_20261011/compare/compare_sets.json</t>
        </is>
      </c>
      <c r="E104" t="inlineStr"/>
      <c r="F104" t="n">
        <v>448</v>
      </c>
      <c r="G104" t="n">
        <v>1094126</v>
      </c>
      <c r="H104" t="n">
        <v>100982</v>
      </c>
      <c r="K104" t="n">
        <v>0.2958</v>
      </c>
      <c r="L104" t="b">
        <v>0</v>
      </c>
      <c r="N104" t="n">
        <v>448</v>
      </c>
      <c r="O104" t="inlineStr">
        <is>
          <t>items</t>
        </is>
      </c>
      <c r="Q104" t="inlineStr"/>
      <c r="S104" t="inlineStr">
        <is>
          <t>done</t>
        </is>
      </c>
      <c r="T104" t="inlineStr"/>
    </row>
    <row r="105">
      <c r="A105" t="inlineStr">
        <is>
          <t>2026-10-11</t>
        </is>
      </c>
      <c r="B105" t="inlineStr">
        <is>
          <t>analysis</t>
        </is>
      </c>
      <c r="C105" t="inlineStr">
        <is>
          <t>review comparison</t>
        </is>
      </c>
      <c r="D105" t="inlineStr">
        <is>
          <t>coverage/review_20261011/compare_python_v2/compare_sets.json</t>
        </is>
      </c>
      <c r="E105" t="inlineStr"/>
      <c r="F105" t="n">
        <v>26</v>
      </c>
      <c r="G105" t="n">
        <v>62887</v>
      </c>
      <c r="H105" t="n">
        <v>6049</v>
      </c>
      <c r="K105" t="n">
        <v>0.0211</v>
      </c>
      <c r="L105" t="b">
        <v>0</v>
      </c>
      <c r="N105" t="n">
        <v>26</v>
      </c>
      <c r="O105" t="inlineStr">
        <is>
          <t>items</t>
        </is>
      </c>
      <c r="Q105" t="inlineStr"/>
      <c r="S105" t="inlineStr">
        <is>
          <t>done</t>
        </is>
      </c>
      <c r="T105" t="inlineStr"/>
    </row>
    <row r="106">
      <c r="A106" t="inlineStr">
        <is>
          <t>2026-10-11</t>
        </is>
      </c>
      <c r="B106" t="inlineStr">
        <is>
          <t>analysis</t>
        </is>
      </c>
      <c r="C106" t="inlineStr">
        <is>
          <t>review coverage</t>
        </is>
      </c>
      <c r="D106" t="inlineStr">
        <is>
          <t>coverage/review_20261011/acra/coverage_report.json</t>
        </is>
      </c>
      <c r="E106" t="inlineStr"/>
      <c r="F106" t="n">
        <v>213</v>
      </c>
      <c r="G106" t="n">
        <v>240279</v>
      </c>
      <c r="H106" t="n">
        <v>15959</v>
      </c>
      <c r="K106" t="n">
        <v>0.059</v>
      </c>
      <c r="L106" t="b">
        <v>0</v>
      </c>
      <c r="N106" t="n">
        <v>284</v>
      </c>
      <c r="O106" t="inlineStr">
        <is>
          <t>items</t>
        </is>
      </c>
      <c r="Q106" t="inlineStr"/>
      <c r="S106" t="inlineStr">
        <is>
          <t>done</t>
        </is>
      </c>
      <c r="T106" t="inlineStr"/>
    </row>
    <row r="107">
      <c r="A107" t="inlineStr">
        <is>
          <t>2026-10-11</t>
        </is>
      </c>
      <c r="B107" t="inlineStr">
        <is>
          <t>analysis</t>
        </is>
      </c>
      <c r="C107" t="inlineStr">
        <is>
          <t>review coverage</t>
        </is>
      </c>
      <c r="D107" t="inlineStr">
        <is>
          <t>coverage/review_20261011/ours/coverage_report.json</t>
        </is>
      </c>
      <c r="E107" t="inlineStr"/>
      <c r="F107" t="n">
        <v>103</v>
      </c>
      <c r="G107" t="n">
        <v>117875</v>
      </c>
      <c r="H107" t="n">
        <v>6947</v>
      </c>
      <c r="K107" t="n">
        <v>0.0304</v>
      </c>
      <c r="L107" t="b">
        <v>0</v>
      </c>
      <c r="N107" t="n">
        <v>170</v>
      </c>
      <c r="O107" t="inlineStr">
        <is>
          <t>items</t>
        </is>
      </c>
      <c r="Q107" t="inlineStr"/>
      <c r="S107" t="inlineStr">
        <is>
          <t>done</t>
        </is>
      </c>
      <c r="T107" t="inlineStr"/>
    </row>
    <row r="108">
      <c r="A108" t="inlineStr">
        <is>
          <t>2026-10-11</t>
        </is>
      </c>
      <c r="B108" t="inlineStr">
        <is>
          <t>extraction</t>
        </is>
      </c>
      <c r="C108" t="inlineStr">
        <is>
          <t>extract jtbd</t>
        </is>
      </c>
      <c r="D108" t="inlineStr">
        <is>
          <t>633a72d5d9ee438faeee6cc4d2531ccf</t>
        </is>
      </c>
      <c r="E108" t="inlineStr">
        <is>
          <t>flex_gpt-6-luna</t>
        </is>
      </c>
      <c r="F108" t="n">
        <v>17</v>
      </c>
      <c r="G108" t="n">
        <v>51</v>
      </c>
      <c r="H108" t="n">
        <v>35526</v>
      </c>
      <c r="I108" t="n">
        <v>2407</v>
      </c>
      <c r="J108" t="n">
        <v>32442</v>
      </c>
      <c r="K108" t="n">
        <v>0.0215955225</v>
      </c>
      <c r="L108" t="b">
        <v>0</v>
      </c>
      <c r="M108" t="n">
        <v>39.2</v>
      </c>
      <c r="N108" t="n">
        <v>16</v>
      </c>
      <c r="O108" t="inlineStr">
        <is>
          <t>parts</t>
        </is>
      </c>
      <c r="P108" t="n">
        <v>68</v>
      </c>
      <c r="Q108" t="inlineStr">
        <is>
          <t>proposals</t>
        </is>
      </c>
      <c r="R108" t="n">
        <v>11801</v>
      </c>
      <c r="S108" t="inlineStr">
        <is>
          <t>succeeded</t>
        </is>
      </c>
      <c r="T108" t="inlineStr">
        <is>
          <t>acra-dscr-policy acra-standard; 0 parts failed</t>
        </is>
      </c>
    </row>
    <row r="109">
      <c r="A109" t="inlineStr">
        <is>
          <t>2026-10-11</t>
        </is>
      </c>
      <c r="B109" t="inlineStr">
        <is>
          <t>extraction</t>
        </is>
      </c>
      <c r="C109" t="inlineStr">
        <is>
          <t>extract jtbd</t>
        </is>
      </c>
      <c r="D109" t="inlineStr">
        <is>
          <t>92c879283dd14cb9b137d6bd44e9f45e</t>
        </is>
      </c>
      <c r="E109" t="inlineStr">
        <is>
          <t>flex_gpt-6-luna</t>
        </is>
      </c>
      <c r="F109" t="n">
        <v>13</v>
      </c>
      <c r="G109" t="n">
        <v>39</v>
      </c>
      <c r="H109" t="n">
        <v>23159</v>
      </c>
      <c r="I109" t="n">
        <v>0</v>
      </c>
      <c r="J109" t="n">
        <v>27992</v>
      </c>
      <c r="K109" t="n">
        <v>0.0164271375</v>
      </c>
      <c r="L109" t="b">
        <v>0</v>
      </c>
      <c r="M109" t="n">
        <v>31</v>
      </c>
      <c r="N109" t="n">
        <v>12</v>
      </c>
      <c r="O109" t="inlineStr">
        <is>
          <t>parts</t>
        </is>
      </c>
      <c r="P109" t="n">
        <v>49</v>
      </c>
      <c r="Q109" t="inlineStr">
        <is>
          <t>proposals</t>
        </is>
      </c>
      <c r="R109" t="n">
        <v>10220</v>
      </c>
      <c r="S109" t="inlineStr">
        <is>
          <t>succeeded</t>
        </is>
      </c>
      <c r="T109" t="inlineStr">
        <is>
          <t>acra-dscr-policy acra-platinum; 0 parts failed</t>
        </is>
      </c>
    </row>
    <row r="110">
      <c r="A110" t="inlineStr">
        <is>
          <t>2026-10-11</t>
        </is>
      </c>
      <c r="B110" t="inlineStr">
        <is>
          <t>extraction</t>
        </is>
      </c>
      <c r="C110" t="inlineStr">
        <is>
          <t>extract jtbd</t>
        </is>
      </c>
      <c r="D110" t="inlineStr">
        <is>
          <t>b281ca4c19b04c1ebd7824a647801633</t>
        </is>
      </c>
      <c r="E110" t="inlineStr"/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b">
        <v>0</v>
      </c>
      <c r="M110" t="n">
        <v>11.1</v>
      </c>
      <c r="N110" t="n">
        <v>0</v>
      </c>
      <c r="O110" t="inlineStr">
        <is>
          <t>parts</t>
        </is>
      </c>
      <c r="P110" t="n">
        <v>0</v>
      </c>
      <c r="Q110" t="inlineStr">
        <is>
          <t>proposals</t>
        </is>
      </c>
      <c r="R110" t="n">
        <v>11801</v>
      </c>
      <c r="S110" t="inlineStr">
        <is>
          <t>failed</t>
        </is>
      </c>
      <c r="T110" t="inlineStr">
        <is>
          <t xml:space="preserve">acra-dscr-policy acra-standard; 0 parts failed; no progress since 2026-10-11T16:35:45.521297+00:00; its process stopped. Submit </t>
        </is>
      </c>
    </row>
    <row r="111">
      <c r="A111" t="inlineStr">
        <is>
          <t>2026-10-11</t>
        </is>
      </c>
      <c r="B111" t="inlineStr">
        <is>
          <t>extraction</t>
        </is>
      </c>
      <c r="C111" t="inlineStr">
        <is>
          <t>extract jtbd</t>
        </is>
      </c>
      <c r="D111" t="inlineStr">
        <is>
          <t>619604a2263042b28e0450cb4af078f4</t>
        </is>
      </c>
      <c r="E111" t="inlineStr"/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b">
        <v>0</v>
      </c>
      <c r="M111" t="n">
        <v>11.1</v>
      </c>
      <c r="N111" t="n">
        <v>0</v>
      </c>
      <c r="O111" t="inlineStr">
        <is>
          <t>parts</t>
        </is>
      </c>
      <c r="P111" t="n">
        <v>0</v>
      </c>
      <c r="Q111" t="inlineStr">
        <is>
          <t>proposals</t>
        </is>
      </c>
      <c r="R111" t="n">
        <v>10220</v>
      </c>
      <c r="S111" t="inlineStr">
        <is>
          <t>failed</t>
        </is>
      </c>
      <c r="T111" t="inlineStr">
        <is>
          <t xml:space="preserve">acra-dscr-policy acra-platinum; 0 parts failed; no progress since 2026-10-11T16:35:45.467365+00:00; its process stopped. Submit </t>
        </is>
      </c>
    </row>
    <row r="112">
      <c r="A112" t="inlineStr">
        <is>
          <t>2026-10-11</t>
        </is>
      </c>
      <c r="B112" t="inlineStr">
        <is>
          <t>extraction</t>
        </is>
      </c>
      <c r="C112" t="inlineStr">
        <is>
          <t>extract jtbd</t>
        </is>
      </c>
      <c r="D112" t="inlineStr">
        <is>
          <t>17364e502f8f42b8b26d2ea82acdb233</t>
        </is>
      </c>
      <c r="E112" t="inlineStr"/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b">
        <v>0</v>
      </c>
      <c r="M112" t="n">
        <v>5</v>
      </c>
      <c r="N112" t="n">
        <v>0</v>
      </c>
      <c r="O112" t="inlineStr">
        <is>
          <t>parts</t>
        </is>
      </c>
      <c r="P112" t="n">
        <v>0</v>
      </c>
      <c r="Q112" t="inlineStr">
        <is>
          <t>proposals</t>
        </is>
      </c>
      <c r="R112" t="n">
        <v>11801</v>
      </c>
      <c r="S112" t="inlineStr">
        <is>
          <t>failed</t>
        </is>
      </c>
      <c r="T112" t="inlineStr">
        <is>
          <t xml:space="preserve">acra-dscr-policy acra-standard; 0 parts failed; no progress since 2026-10-11T16:30:44.563331+00:00; its process stopped. Submit </t>
        </is>
      </c>
    </row>
    <row r="113">
      <c r="A113" t="inlineStr">
        <is>
          <t>2026-10-11</t>
        </is>
      </c>
      <c r="B113" t="inlineStr">
        <is>
          <t>extraction</t>
        </is>
      </c>
      <c r="C113" t="inlineStr">
        <is>
          <t>extract jtbd</t>
        </is>
      </c>
      <c r="D113" t="inlineStr">
        <is>
          <t>764d94864f3e40e29bd00e52fa59fdff</t>
        </is>
      </c>
      <c r="E113" t="inlineStr"/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b">
        <v>0</v>
      </c>
      <c r="M113" t="n">
        <v>5</v>
      </c>
      <c r="N113" t="n">
        <v>0</v>
      </c>
      <c r="O113" t="inlineStr">
        <is>
          <t>parts</t>
        </is>
      </c>
      <c r="P113" t="n">
        <v>0</v>
      </c>
      <c r="Q113" t="inlineStr">
        <is>
          <t>proposals</t>
        </is>
      </c>
      <c r="R113" t="n">
        <v>10220</v>
      </c>
      <c r="S113" t="inlineStr">
        <is>
          <t>failed</t>
        </is>
      </c>
      <c r="T113" t="inlineStr">
        <is>
          <t xml:space="preserve">acra-dscr-policy acra-platinum; 0 parts failed; no progress since 2026-10-11T16:30:44.500485+00:00; its process stopped. Submit </t>
        </is>
      </c>
    </row>
    <row r="114">
      <c r="A114" t="inlineStr">
        <is>
          <t>2026-10-11</t>
        </is>
      </c>
      <c r="B114" t="inlineStr">
        <is>
          <t>extraction</t>
        </is>
      </c>
      <c r="C114" t="inlineStr">
        <is>
          <t>extract python</t>
        </is>
      </c>
      <c r="D114" t="inlineStr">
        <is>
          <t>bedb0ad98d4f4db5beb318948150e187</t>
        </is>
      </c>
      <c r="E114" t="inlineStr">
        <is>
          <t>flex_gpt-6-luna</t>
        </is>
      </c>
      <c r="F114" t="n">
        <v>48</v>
      </c>
      <c r="G114" t="n">
        <v>144</v>
      </c>
      <c r="H114" t="n">
        <v>26003</v>
      </c>
      <c r="I114" t="n">
        <v>4529</v>
      </c>
      <c r="J114" t="n">
        <v>74984</v>
      </c>
      <c r="K114" t="n">
        <v>0.0315589075</v>
      </c>
      <c r="L114" t="b">
        <v>0</v>
      </c>
      <c r="M114" t="n">
        <v>74.5</v>
      </c>
      <c r="N114" t="n">
        <v>48</v>
      </c>
      <c r="O114" t="inlineStr">
        <is>
          <t>parts</t>
        </is>
      </c>
      <c r="P114" t="n">
        <v>25</v>
      </c>
      <c r="Q114" t="inlineStr">
        <is>
          <t>proposals</t>
        </is>
      </c>
      <c r="R114" t="n">
        <v>11801</v>
      </c>
      <c r="S114" t="inlineStr">
        <is>
          <t>succeeded</t>
        </is>
      </c>
      <c r="T114" t="inlineStr">
        <is>
          <t>acra-dscr-policy acra-standard; 1 parts failed</t>
        </is>
      </c>
    </row>
    <row r="115">
      <c r="A115" t="inlineStr">
        <is>
          <t>2026-10-11</t>
        </is>
      </c>
      <c r="B115" t="inlineStr">
        <is>
          <t>extraction</t>
        </is>
      </c>
      <c r="C115" t="inlineStr">
        <is>
          <t>extract python</t>
        </is>
      </c>
      <c r="D115" t="inlineStr">
        <is>
          <t>86577f56ecf643d09d192405462ea959</t>
        </is>
      </c>
      <c r="E115" t="inlineStr">
        <is>
          <t>flex_gpt-6-luna</t>
        </is>
      </c>
      <c r="F115" t="n">
        <v>42</v>
      </c>
      <c r="G115" t="n">
        <v>126</v>
      </c>
      <c r="H115" t="n">
        <v>14322</v>
      </c>
      <c r="I115" t="n">
        <v>2068</v>
      </c>
      <c r="J115" t="n">
        <v>54217</v>
      </c>
      <c r="K115" t="n">
        <v>0.02270839</v>
      </c>
      <c r="L115" t="b">
        <v>0</v>
      </c>
      <c r="M115" t="n">
        <v>55.3</v>
      </c>
      <c r="N115" t="n">
        <v>42</v>
      </c>
      <c r="O115" t="inlineStr">
        <is>
          <t>parts</t>
        </is>
      </c>
      <c r="P115" t="n">
        <v>25</v>
      </c>
      <c r="Q115" t="inlineStr">
        <is>
          <t>proposals</t>
        </is>
      </c>
      <c r="R115" t="n">
        <v>10220</v>
      </c>
      <c r="S115" t="inlineStr">
        <is>
          <t>succeeded</t>
        </is>
      </c>
      <c r="T115" t="inlineStr">
        <is>
          <t>acra-dscr-policy acra-platinum; 1 parts failed</t>
        </is>
      </c>
    </row>
    <row r="116">
      <c r="A116" t="inlineStr">
        <is>
          <t>2026-10-11</t>
        </is>
      </c>
      <c r="B116" t="inlineStr">
        <is>
          <t>extraction</t>
        </is>
      </c>
      <c r="C116" t="inlineStr">
        <is>
          <t>extract python</t>
        </is>
      </c>
      <c r="D116" t="inlineStr">
        <is>
          <t>6b4bd3745887438280887d32f5671e70</t>
        </is>
      </c>
      <c r="E116" t="inlineStr">
        <is>
          <t>flex_gpt-6-luna</t>
        </is>
      </c>
      <c r="F116" t="n">
        <v>42</v>
      </c>
      <c r="G116" t="n">
        <v>126</v>
      </c>
      <c r="H116" t="n">
        <v>15130</v>
      </c>
      <c r="I116" t="n">
        <v>0</v>
      </c>
      <c r="J116" t="n">
        <v>57183</v>
      </c>
      <c r="K116" t="n">
        <v>0.0237708</v>
      </c>
      <c r="L116" t="b">
        <v>0</v>
      </c>
      <c r="M116" t="n">
        <v>32.7</v>
      </c>
      <c r="N116" t="n">
        <v>42</v>
      </c>
      <c r="O116" t="inlineStr">
        <is>
          <t>parts</t>
        </is>
      </c>
      <c r="P116" t="n">
        <v>23</v>
      </c>
      <c r="Q116" t="inlineStr">
        <is>
          <t>proposals</t>
        </is>
      </c>
      <c r="R116" t="n">
        <v>10220</v>
      </c>
      <c r="S116" t="inlineStr">
        <is>
          <t>succeeded</t>
        </is>
      </c>
      <c r="T116" t="inlineStr">
        <is>
          <t>acra-dscr-policy acra-platinum; 2 parts failed</t>
        </is>
      </c>
    </row>
    <row r="117">
      <c r="A117" t="inlineStr">
        <is>
          <t>2026-10-11</t>
        </is>
      </c>
      <c r="B117" t="inlineStr">
        <is>
          <t>extraction</t>
        </is>
      </c>
      <c r="C117" t="inlineStr">
        <is>
          <t>extract python</t>
        </is>
      </c>
      <c r="D117" t="inlineStr">
        <is>
          <t>66449c2d0afe433785a75bc04c35fdc8</t>
        </is>
      </c>
      <c r="E117" t="inlineStr">
        <is>
          <t>flex_gpt-6-luna</t>
        </is>
      </c>
      <c r="F117" t="n">
        <v>48</v>
      </c>
      <c r="G117" t="n">
        <v>144</v>
      </c>
      <c r="H117" t="n">
        <v>29703</v>
      </c>
      <c r="I117" t="n">
        <v>0</v>
      </c>
      <c r="J117" t="n">
        <v>71777</v>
      </c>
      <c r="K117" t="n">
        <v>0.031942575</v>
      </c>
      <c r="L117" t="b">
        <v>0</v>
      </c>
      <c r="M117" t="n">
        <v>42.4</v>
      </c>
      <c r="N117" t="n">
        <v>48</v>
      </c>
      <c r="O117" t="inlineStr">
        <is>
          <t>parts</t>
        </is>
      </c>
      <c r="P117" t="n">
        <v>22</v>
      </c>
      <c r="Q117" t="inlineStr">
        <is>
          <t>proposals</t>
        </is>
      </c>
      <c r="R117" t="n">
        <v>11801</v>
      </c>
      <c r="S117" t="inlineStr">
        <is>
          <t>succeeded</t>
        </is>
      </c>
      <c r="T117" t="inlineStr">
        <is>
          <t>acra-dscr-policy acra-standard; 1 parts failed</t>
        </is>
      </c>
    </row>
    <row r="118">
      <c r="A118" t="inlineStr">
        <is>
          <t>2026-10-12</t>
        </is>
      </c>
      <c r="B118" t="inlineStr">
        <is>
          <t>agent session</t>
        </is>
      </c>
      <c r="C118" t="inlineStr">
        <is>
          <t>agent headless</t>
        </is>
      </c>
      <c r="D118" t="inlineStr">
        <is>
          <t>-Users-sangit-src-japes-ledger/c6227bc9-93c6-45ab-b1f0-4706de2ad047</t>
        </is>
      </c>
      <c r="E118" t="inlineStr"/>
      <c r="K118" t="n">
        <v>0</v>
      </c>
      <c r="N118" t="n">
        <v>1</v>
      </c>
      <c r="O118" t="inlineStr">
        <is>
          <t>turns</t>
        </is>
      </c>
      <c r="S118" t="inlineStr">
        <is>
          <t>done</t>
        </is>
      </c>
      <c r="T118" t="inlineStr">
        <is>
          <t>whole session $0.0 over 1 turns (ceiling); 2026-10-12T03:02 to 2026-10-12T03:02</t>
        </is>
      </c>
    </row>
    <row r="119">
      <c r="A119" t="inlineStr">
        <is>
          <t>2026-10-12</t>
        </is>
      </c>
      <c r="B119" t="inlineStr">
        <is>
          <t>agent session</t>
        </is>
      </c>
      <c r="C119" t="inlineStr">
        <is>
          <t>agent headless</t>
        </is>
      </c>
      <c r="D119" t="inlineStr">
        <is>
          <t>-Users-sangit-src-japes-ledger/d965ca5b-ed12-4f30-961d-e9ed53960abb</t>
        </is>
      </c>
      <c r="E119" t="inlineStr">
        <is>
          <t>claude-opus-5-5=1.85</t>
        </is>
      </c>
      <c r="K119" t="n">
        <v>1.8533</v>
      </c>
      <c r="N119" t="n">
        <v>2</v>
      </c>
      <c r="O119" t="inlineStr">
        <is>
          <t>turns</t>
        </is>
      </c>
      <c r="S119" t="inlineStr">
        <is>
          <t>done</t>
        </is>
      </c>
      <c r="T119" t="inlineStr">
        <is>
          <t>whole session $1.8533 over 2 turns (ceiling); 2026-10-12T03:03 to 2026-10-12T03:09</t>
        </is>
      </c>
    </row>
    <row r="120">
      <c r="A120" t="inlineStr">
        <is>
          <t>2026-10-12</t>
        </is>
      </c>
      <c r="B120" t="inlineStr">
        <is>
          <t>agent session</t>
        </is>
      </c>
      <c r="C120" t="inlineStr">
        <is>
          <t>agent headless</t>
        </is>
      </c>
      <c r="D120" t="inlineStr">
        <is>
          <t>-Users-sangit-src-japes/a102209e-60f2-4c47-9e6b-2fd82f3b868f</t>
        </is>
      </c>
      <c r="E120" t="inlineStr">
        <is>
          <t>claude-opus-5-5=1.70</t>
        </is>
      </c>
      <c r="K120" t="n">
        <v>1.7004</v>
      </c>
      <c r="N120" t="n">
        <v>1</v>
      </c>
      <c r="O120" t="inlineStr">
        <is>
          <t>turns</t>
        </is>
      </c>
      <c r="S120" t="inlineStr">
        <is>
          <t>done</t>
        </is>
      </c>
      <c r="T120" t="inlineStr">
        <is>
          <t>whole session $1.7004 over 1 turns (ceiling); 2026-10-12T03:49 to 2026-10-12T03:51</t>
        </is>
      </c>
    </row>
    <row r="121">
      <c r="A121" t="inlineStr">
        <is>
          <t>2026-10-12</t>
        </is>
      </c>
      <c r="B121" t="inlineStr">
        <is>
          <t>agent session</t>
        </is>
      </c>
      <c r="C121" t="inlineStr">
        <is>
          <t>agent headless</t>
        </is>
      </c>
      <c r="D121" t="inlineStr">
        <is>
          <t>-Users-sangit-src-japes/e66fb387-fc36-4a55-ab2c-7b1e8311d268</t>
        </is>
      </c>
      <c r="E121" t="inlineStr">
        <is>
          <t>claude-opus-5-5=1.98</t>
        </is>
      </c>
      <c r="K121" t="n">
        <v>1.9777</v>
      </c>
      <c r="N121" t="n">
        <v>1</v>
      </c>
      <c r="O121" t="inlineStr">
        <is>
          <t>turns</t>
        </is>
      </c>
      <c r="S121" t="inlineStr">
        <is>
          <t>done</t>
        </is>
      </c>
      <c r="T121" t="inlineStr">
        <is>
          <t>whole session $1.9777 over 1 turns (ceiling); 2026-10-12T03:51 to 2026-10-12T03:54</t>
        </is>
      </c>
    </row>
    <row r="122">
      <c r="A122" t="inlineStr">
        <is>
          <t>2026-10-12</t>
        </is>
      </c>
      <c r="B122" t="inlineStr">
        <is>
          <t>agent session</t>
        </is>
      </c>
      <c r="C122" t="inlineStr">
        <is>
          <t>agent headless</t>
        </is>
      </c>
      <c r="D122" t="inlineStr">
        <is>
          <t>-Users-sangit-src-japes/0dd795ca-217b-4011-876b-e377b18a1e9c</t>
        </is>
      </c>
      <c r="E122" t="inlineStr">
        <is>
          <t>claude-opus-5-5=2.22</t>
        </is>
      </c>
      <c r="K122" t="n">
        <v>2.2161</v>
      </c>
      <c r="N122" t="n">
        <v>1</v>
      </c>
      <c r="O122" t="inlineStr">
        <is>
          <t>turns</t>
        </is>
      </c>
      <c r="S122" t="inlineStr">
        <is>
          <t>done</t>
        </is>
      </c>
      <c r="T122" t="inlineStr">
        <is>
          <t>whole session $2.2161 over 1 turns (ceiling); 2026-10-12T03:54 to 2026-10-12T03:58</t>
        </is>
      </c>
    </row>
    <row r="123">
      <c r="A123" t="inlineStr">
        <is>
          <t>2026-10-12</t>
        </is>
      </c>
      <c r="B123" t="inlineStr">
        <is>
          <t>agent session</t>
        </is>
      </c>
      <c r="C123" t="inlineStr">
        <is>
          <t>agent headless</t>
        </is>
      </c>
      <c r="D123" t="inlineStr">
        <is>
          <t>-Users-sangit-src-japes/eb8c1171-c240-4ca2-869a-d1f69410da02</t>
        </is>
      </c>
      <c r="E123" t="inlineStr">
        <is>
          <t>claude-opus-5-5=1.22</t>
        </is>
      </c>
      <c r="K123" t="n">
        <v>1.2224</v>
      </c>
      <c r="N123" t="n">
        <v>1</v>
      </c>
      <c r="O123" t="inlineStr">
        <is>
          <t>turns</t>
        </is>
      </c>
      <c r="S123" t="inlineStr">
        <is>
          <t>done</t>
        </is>
      </c>
      <c r="T123" t="inlineStr">
        <is>
          <t>whole session $1.2224 over 1 turns (ceiling); 2026-10-12T03:58 to 2026-10-12T03:59</t>
        </is>
      </c>
    </row>
    <row r="124">
      <c r="A124" t="inlineStr">
        <is>
          <t>2026-10-12</t>
        </is>
      </c>
      <c r="B124" t="inlineStr">
        <is>
          <t>agent session</t>
        </is>
      </c>
      <c r="C124" t="inlineStr">
        <is>
          <t>agent headless</t>
        </is>
      </c>
      <c r="D124" t="inlineStr">
        <is>
          <t>-Users-sangit-src-japes/99603039-fdfe-4768-a6f3-8bae0ed52dc2</t>
        </is>
      </c>
      <c r="E124" t="inlineStr">
        <is>
          <t>claude-opus-5-5=1.99</t>
        </is>
      </c>
      <c r="K124" t="n">
        <v>1.9868</v>
      </c>
      <c r="N124" t="n">
        <v>1</v>
      </c>
      <c r="O124" t="inlineStr">
        <is>
          <t>turns</t>
        </is>
      </c>
      <c r="S124" t="inlineStr">
        <is>
          <t>done</t>
        </is>
      </c>
      <c r="T124" t="inlineStr">
        <is>
          <t>whole session $1.9868 over 1 turns (ceiling); 2026-10-12T03:59 to 2026-10-12T04:02</t>
        </is>
      </c>
    </row>
    <row r="125">
      <c r="A125" t="inlineStr">
        <is>
          <t>2026-10-12</t>
        </is>
      </c>
      <c r="B125" t="inlineStr">
        <is>
          <t>agent session</t>
        </is>
      </c>
      <c r="C125" t="inlineStr">
        <is>
          <t>agent headless</t>
        </is>
      </c>
      <c r="D125" t="inlineStr">
        <is>
          <t>-Users-sangit-src-japes/eb092eab-e774-4fbc-a543-f136009b3824</t>
        </is>
      </c>
      <c r="E125" t="inlineStr">
        <is>
          <t>claude-opus-5-5=3.66</t>
        </is>
      </c>
      <c r="K125" t="n">
        <v>3.6641</v>
      </c>
      <c r="N125" t="n">
        <v>1</v>
      </c>
      <c r="O125" t="inlineStr">
        <is>
          <t>turns</t>
        </is>
      </c>
      <c r="S125" t="inlineStr">
        <is>
          <t>done</t>
        </is>
      </c>
      <c r="T125" t="inlineStr">
        <is>
          <t>whole session $3.6641 over 1 turns (ceiling); 2026-10-12T04:02 to 2026-10-12T04:08</t>
        </is>
      </c>
    </row>
    <row r="126">
      <c r="A126" t="inlineStr">
        <is>
          <t>2026-10-12</t>
        </is>
      </c>
      <c r="B126" t="inlineStr">
        <is>
          <t>agent session</t>
        </is>
      </c>
      <c r="C126" t="inlineStr">
        <is>
          <t>agent headless</t>
        </is>
      </c>
      <c r="D126" t="inlineStr">
        <is>
          <t>-Users-sangit-src-japes/18d40877-bc86-476f-82b9-5546ea927092</t>
        </is>
      </c>
      <c r="E126" t="inlineStr">
        <is>
          <t>claude-opus-5-5=1.98</t>
        </is>
      </c>
      <c r="K126" t="n">
        <v>1.9801</v>
      </c>
      <c r="N126" t="n">
        <v>1</v>
      </c>
      <c r="O126" t="inlineStr">
        <is>
          <t>turns</t>
        </is>
      </c>
      <c r="S126" t="inlineStr">
        <is>
          <t>done</t>
        </is>
      </c>
      <c r="T126" t="inlineStr">
        <is>
          <t>whole session $1.9801 over 2 turns (ceiling); 2026-10-12T04:08 to 2026-10-12T04:11</t>
        </is>
      </c>
    </row>
    <row r="127">
      <c r="A127" t="inlineStr">
        <is>
          <t>2026-10-12</t>
        </is>
      </c>
      <c r="B127" t="inlineStr">
        <is>
          <t>agent session</t>
        </is>
      </c>
      <c r="C127" t="inlineStr">
        <is>
          <t>agent headless</t>
        </is>
      </c>
      <c r="D127" t="inlineStr">
        <is>
          <t>-Users-sangit-src-japes/f4dccd48-af98-45c8-bb1a-bda55142763d</t>
        </is>
      </c>
      <c r="E127" t="inlineStr">
        <is>
          <t>claude-opus-5-5=1.51</t>
        </is>
      </c>
      <c r="K127" t="n">
        <v>1.5072</v>
      </c>
      <c r="N127" t="n">
        <v>1</v>
      </c>
      <c r="O127" t="inlineStr">
        <is>
          <t>turns</t>
        </is>
      </c>
      <c r="S127" t="inlineStr">
        <is>
          <t>done</t>
        </is>
      </c>
      <c r="T127" t="inlineStr">
        <is>
          <t>whole session $1.5072 over 1 turns (ceiling); 2026-10-12T04:27 to 2026-10-12T04:28</t>
        </is>
      </c>
    </row>
    <row r="128">
      <c r="A128" t="inlineStr">
        <is>
          <t>2026-10-12</t>
        </is>
      </c>
      <c r="B128" t="inlineStr">
        <is>
          <t>agent session</t>
        </is>
      </c>
      <c r="C128" t="inlineStr">
        <is>
          <t>agent headless</t>
        </is>
      </c>
      <c r="D128" t="inlineStr">
        <is>
          <t>-Users-sangit-src-japes/7a04cdc1-5d76-45ab-9aa1-ab30f21ac32c</t>
        </is>
      </c>
      <c r="E128" t="inlineStr">
        <is>
          <t>claude-opus-5-5=1.88</t>
        </is>
      </c>
      <c r="K128" t="n">
        <v>1.8825</v>
      </c>
      <c r="N128" t="n">
        <v>1</v>
      </c>
      <c r="O128" t="inlineStr">
        <is>
          <t>turns</t>
        </is>
      </c>
      <c r="S128" t="inlineStr">
        <is>
          <t>done</t>
        </is>
      </c>
      <c r="T128" t="inlineStr">
        <is>
          <t>whole session $1.8825 over 1 turns (ceiling); 2026-10-12T04:28 to 2026-10-12T04:31</t>
        </is>
      </c>
    </row>
    <row r="129">
      <c r="A129" t="inlineStr">
        <is>
          <t>2026-10-12</t>
        </is>
      </c>
      <c r="B129" t="inlineStr">
        <is>
          <t>agent session</t>
        </is>
      </c>
      <c r="C129" t="inlineStr">
        <is>
          <t>agent headless</t>
        </is>
      </c>
      <c r="D129" t="inlineStr">
        <is>
          <t>-Users-sangit-src-japes/9f617960-b7b8-4ec8-9c65-eda0d92b81d1</t>
        </is>
      </c>
      <c r="E129" t="inlineStr">
        <is>
          <t>claude-opus-5-5=0.72</t>
        </is>
      </c>
      <c r="K129" t="n">
        <v>0.7215</v>
      </c>
      <c r="N129" t="n">
        <v>1</v>
      </c>
      <c r="O129" t="inlineStr">
        <is>
          <t>turns</t>
        </is>
      </c>
      <c r="S129" t="inlineStr">
        <is>
          <t>done</t>
        </is>
      </c>
      <c r="T129" t="inlineStr">
        <is>
          <t>whole session $0.7215 over 1 turns (ceiling); 2026-10-12T04:31 to 2026-10-12T04:32</t>
        </is>
      </c>
    </row>
    <row r="130">
      <c r="A130" t="inlineStr">
        <is>
          <t>2026-10-12</t>
        </is>
      </c>
      <c r="B130" t="inlineStr">
        <is>
          <t>extraction</t>
        </is>
      </c>
      <c r="C130" t="inlineStr">
        <is>
          <t>extract alignment</t>
        </is>
      </c>
      <c r="D130" t="inlineStr">
        <is>
          <t>026642024bb0464c94c2f216ac99da6f</t>
        </is>
      </c>
      <c r="E130" t="inlineStr">
        <is>
          <t>flex_gpt-6-luna</t>
        </is>
      </c>
      <c r="F130" t="n">
        <v>60</v>
      </c>
      <c r="G130" t="n">
        <v>180</v>
      </c>
      <c r="H130" t="n">
        <v>14177</v>
      </c>
      <c r="I130" t="n">
        <v>0</v>
      </c>
      <c r="J130" t="n">
        <v>41494</v>
      </c>
      <c r="K130" t="n">
        <v>0.02934325</v>
      </c>
      <c r="L130" t="b">
        <v>0</v>
      </c>
      <c r="M130" t="n">
        <v>16.1</v>
      </c>
      <c r="N130" t="n">
        <v>55</v>
      </c>
      <c r="O130" t="inlineStr">
        <is>
          <t>parts</t>
        </is>
      </c>
      <c r="P130" t="n">
        <v>23</v>
      </c>
      <c r="Q130" t="inlineStr">
        <is>
          <t>proposals</t>
        </is>
      </c>
      <c r="R130" t="n">
        <v>0</v>
      </c>
      <c r="S130" t="inlineStr">
        <is>
          <t>succeeded</t>
        </is>
      </c>
      <c r="T130" t="inlineStr">
        <is>
          <t>acra-ledger-trial ; 0 parts failed</t>
        </is>
      </c>
    </row>
    <row r="131">
      <c r="A131" t="inlineStr">
        <is>
          <t>2026-10-12</t>
        </is>
      </c>
      <c r="B131" t="inlineStr">
        <is>
          <t>extraction</t>
        </is>
      </c>
      <c r="C131" t="inlineStr">
        <is>
          <t>extract jtbd</t>
        </is>
      </c>
      <c r="D131" t="inlineStr">
        <is>
          <t>787fd55b9985498a95e0e9685a0798a6</t>
        </is>
      </c>
      <c r="E131" t="inlineStr">
        <is>
          <t>flex_gpt-6-luna</t>
        </is>
      </c>
      <c r="F131" t="n">
        <v>14</v>
      </c>
      <c r="G131" t="n">
        <v>42</v>
      </c>
      <c r="H131" t="n">
        <v>37153</v>
      </c>
      <c r="I131" t="n">
        <v>0</v>
      </c>
      <c r="J131" t="n">
        <v>35563</v>
      </c>
      <c r="K131" t="n">
        <v>0.022335725</v>
      </c>
      <c r="L131" t="b">
        <v>0</v>
      </c>
      <c r="M131" t="n">
        <v>26</v>
      </c>
      <c r="N131" t="n">
        <v>13</v>
      </c>
      <c r="O131" t="inlineStr">
        <is>
          <t>parts</t>
        </is>
      </c>
      <c r="P131" t="n">
        <v>65</v>
      </c>
      <c r="Q131" t="inlineStr">
        <is>
          <t>proposals</t>
        </is>
      </c>
      <c r="R131" t="n">
        <v>11801</v>
      </c>
      <c r="S131" t="inlineStr">
        <is>
          <t>succeeded</t>
        </is>
      </c>
      <c r="T131" t="inlineStr">
        <is>
          <t>acra-ledger-trial acra-standard; 0 parts failed</t>
        </is>
      </c>
    </row>
    <row r="132">
      <c r="A132" t="inlineStr">
        <is>
          <t>2026-10-12</t>
        </is>
      </c>
      <c r="B132" t="inlineStr">
        <is>
          <t>extraction</t>
        </is>
      </c>
      <c r="C132" t="inlineStr">
        <is>
          <t>extract jtbd</t>
        </is>
      </c>
      <c r="D132" t="inlineStr">
        <is>
          <t>430e5722025341dcbc7ed39d3060a8aa</t>
        </is>
      </c>
      <c r="E132" t="inlineStr">
        <is>
          <t>flex_gpt-6-luna</t>
        </is>
      </c>
      <c r="F132" t="n">
        <v>11</v>
      </c>
      <c r="G132" t="n">
        <v>33</v>
      </c>
      <c r="H132" t="n">
        <v>26270</v>
      </c>
      <c r="I132" t="n">
        <v>0</v>
      </c>
      <c r="J132" t="n">
        <v>28795</v>
      </c>
      <c r="K132" t="n">
        <v>0.0174523375</v>
      </c>
      <c r="L132" t="b">
        <v>0</v>
      </c>
      <c r="M132" t="n">
        <v>20.5</v>
      </c>
      <c r="N132" t="n">
        <v>10</v>
      </c>
      <c r="O132" t="inlineStr">
        <is>
          <t>parts</t>
        </is>
      </c>
      <c r="P132" t="n">
        <v>45</v>
      </c>
      <c r="Q132" t="inlineStr">
        <is>
          <t>proposals</t>
        </is>
      </c>
      <c r="R132" t="n">
        <v>10220</v>
      </c>
      <c r="S132" t="inlineStr">
        <is>
          <t>succeeded</t>
        </is>
      </c>
      <c r="T132" t="inlineStr">
        <is>
          <t>acra-ledger-trial acra-platinum; 0 parts failed</t>
        </is>
      </c>
    </row>
    <row r="133">
      <c r="A133" t="inlineStr">
        <is>
          <t>2026-10-12</t>
        </is>
      </c>
      <c r="B133" t="inlineStr">
        <is>
          <t>extraction</t>
        </is>
      </c>
      <c r="C133" t="inlineStr">
        <is>
          <t>extract python</t>
        </is>
      </c>
      <c r="D133" t="inlineStr">
        <is>
          <t>0f47f378706a41289d35878fb60dcddf</t>
        </is>
      </c>
      <c r="E133" t="inlineStr">
        <is>
          <t>flex_gpt-6-luna</t>
        </is>
      </c>
      <c r="F133" t="n">
        <v>43</v>
      </c>
      <c r="G133" t="n">
        <v>129</v>
      </c>
      <c r="H133" t="n">
        <v>17591</v>
      </c>
      <c r="I133" t="n">
        <v>0</v>
      </c>
      <c r="J133" t="n">
        <v>57194</v>
      </c>
      <c r="K133" t="n">
        <v>0.02454119999999999</v>
      </c>
      <c r="L133" t="b">
        <v>0</v>
      </c>
      <c r="M133" t="n">
        <v>47.9</v>
      </c>
      <c r="N133" t="n">
        <v>42</v>
      </c>
      <c r="O133" t="inlineStr">
        <is>
          <t>parts</t>
        </is>
      </c>
      <c r="P133" t="n">
        <v>26</v>
      </c>
      <c r="Q133" t="inlineStr">
        <is>
          <t>proposals</t>
        </is>
      </c>
      <c r="R133" t="n">
        <v>10220</v>
      </c>
      <c r="S133" t="inlineStr">
        <is>
          <t>succeeded</t>
        </is>
      </c>
      <c r="T133" t="inlineStr">
        <is>
          <t>acra-ledger-trial acra-platinum; 0 parts failed</t>
        </is>
      </c>
    </row>
    <row r="134">
      <c r="A134" t="inlineStr">
        <is>
          <t>2026-10-12</t>
        </is>
      </c>
      <c r="B134" t="inlineStr">
        <is>
          <t>extraction</t>
        </is>
      </c>
      <c r="C134" t="inlineStr">
        <is>
          <t>extract python</t>
        </is>
      </c>
      <c r="D134" t="inlineStr">
        <is>
          <t>73e3d17a3007450a88ce61c511b85b65</t>
        </is>
      </c>
      <c r="E134" t="inlineStr">
        <is>
          <t>flex_gpt-6-luna</t>
        </is>
      </c>
      <c r="F134" t="n">
        <v>49</v>
      </c>
      <c r="G134" t="n">
        <v>147</v>
      </c>
      <c r="H134" t="n">
        <v>30178</v>
      </c>
      <c r="I134" t="n">
        <v>2299</v>
      </c>
      <c r="J134" t="n">
        <v>81176</v>
      </c>
      <c r="K134" t="n">
        <v>0.0344199075</v>
      </c>
      <c r="L134" t="b">
        <v>0</v>
      </c>
      <c r="M134" t="n">
        <v>58.9</v>
      </c>
      <c r="N134" t="n">
        <v>48</v>
      </c>
      <c r="O134" t="inlineStr">
        <is>
          <t>parts</t>
        </is>
      </c>
      <c r="P134" t="n">
        <v>29</v>
      </c>
      <c r="Q134" t="inlineStr">
        <is>
          <t>proposals</t>
        </is>
      </c>
      <c r="R134" t="n">
        <v>11801</v>
      </c>
      <c r="S134" t="inlineStr">
        <is>
          <t>succeeded</t>
        </is>
      </c>
      <c r="T134" t="inlineStr">
        <is>
          <t>acra-ledger-trial acra-standard; 0 parts failed</t>
        </is>
      </c>
    </row>
    <row r="135">
      <c r="A135" t="inlineStr">
        <is>
          <t>2026-10-12</t>
        </is>
      </c>
      <c r="B135" t="inlineStr">
        <is>
          <t>extraction</t>
        </is>
      </c>
      <c r="C135" t="inlineStr">
        <is>
          <t>extract python_jobs</t>
        </is>
      </c>
      <c r="D135" t="inlineStr">
        <is>
          <t>fbb74a559ad349c5bd247c3e13415d2a</t>
        </is>
      </c>
      <c r="E135" t="inlineStr">
        <is>
          <t>flex_gpt-6-luna</t>
        </is>
      </c>
      <c r="F135" t="n">
        <v>21</v>
      </c>
      <c r="G135" t="n">
        <v>63</v>
      </c>
      <c r="H135" t="n">
        <v>14548</v>
      </c>
      <c r="I135" t="n">
        <v>0</v>
      </c>
      <c r="J135" t="n">
        <v>24138</v>
      </c>
      <c r="K135" t="n">
        <v>0.012850775</v>
      </c>
      <c r="L135" t="b">
        <v>0</v>
      </c>
      <c r="M135" t="n">
        <v>11.7</v>
      </c>
      <c r="N135" t="n">
        <v>21</v>
      </c>
      <c r="O135" t="inlineStr">
        <is>
          <t>parts</t>
        </is>
      </c>
      <c r="P135" t="n">
        <v>21</v>
      </c>
      <c r="Q135" t="inlineStr">
        <is>
          <t>proposals</t>
        </is>
      </c>
      <c r="R135" t="n">
        <v>10220</v>
      </c>
      <c r="S135" t="inlineStr">
        <is>
          <t>succeeded</t>
        </is>
      </c>
      <c r="T135" t="inlineStr">
        <is>
          <t>acra-ledger-trial acra-platinum; 0 parts failed</t>
        </is>
      </c>
    </row>
    <row r="136">
      <c r="A136" t="inlineStr">
        <is>
          <t>2026-10-12</t>
        </is>
      </c>
      <c r="B136" t="inlineStr">
        <is>
          <t>extraction</t>
        </is>
      </c>
      <c r="C136" t="inlineStr">
        <is>
          <t>extract python_jobs</t>
        </is>
      </c>
      <c r="D136" t="inlineStr">
        <is>
          <t>6dc26e6a226642e89c6c0334272b2308</t>
        </is>
      </c>
      <c r="E136" t="inlineStr">
        <is>
          <t>flex_gpt-6-luna</t>
        </is>
      </c>
      <c r="F136" t="n">
        <v>28</v>
      </c>
      <c r="G136" t="n">
        <v>84</v>
      </c>
      <c r="H136" t="n">
        <v>29052</v>
      </c>
      <c r="I136" t="n">
        <v>0</v>
      </c>
      <c r="J136" t="n">
        <v>41865</v>
      </c>
      <c r="K136" t="n">
        <v>0.0220955125</v>
      </c>
      <c r="L136" t="b">
        <v>0</v>
      </c>
      <c r="M136" t="n">
        <v>22.2</v>
      </c>
      <c r="N136" t="n">
        <v>23</v>
      </c>
      <c r="O136" t="inlineStr">
        <is>
          <t>parts</t>
        </is>
      </c>
      <c r="P136" t="n">
        <v>23</v>
      </c>
      <c r="Q136" t="inlineStr">
        <is>
          <t>proposals</t>
        </is>
      </c>
      <c r="R136" t="n">
        <v>11801</v>
      </c>
      <c r="S136" t="inlineStr">
        <is>
          <t>succeeded</t>
        </is>
      </c>
      <c r="T136" t="inlineStr">
        <is>
          <t>acra-ledger-trial acra-standard; 0 parts failed</t>
        </is>
      </c>
    </row>
    <row r="137">
      <c r="A137" t="inlineStr">
        <is>
          <t>2026-10-13</t>
        </is>
      </c>
      <c r="B137" t="inlineStr">
        <is>
          <t>extraction</t>
        </is>
      </c>
      <c r="C137" t="inlineStr">
        <is>
          <t>extract jtbd</t>
        </is>
      </c>
      <c r="D137" t="inlineStr">
        <is>
          <t>c6d6dfa17ba14e9690e1343cc643c7c7</t>
        </is>
      </c>
      <c r="E137" t="inlineStr">
        <is>
          <t>flex_gpt-6-luna</t>
        </is>
      </c>
      <c r="F137" t="n">
        <v>9</v>
      </c>
      <c r="G137" t="n">
        <v>27</v>
      </c>
      <c r="H137" t="n">
        <v>50240</v>
      </c>
      <c r="I137" t="n">
        <v>0</v>
      </c>
      <c r="J137" t="n">
        <v>17163</v>
      </c>
      <c r="K137" t="n">
        <v>0.02185385</v>
      </c>
      <c r="L137" t="b">
        <v>0</v>
      </c>
      <c r="M137" t="n">
        <v>99.59999999999999</v>
      </c>
      <c r="N137" t="n">
        <v>11</v>
      </c>
      <c r="O137" t="inlineStr">
        <is>
          <t>parts</t>
        </is>
      </c>
      <c r="P137" t="n">
        <v>110</v>
      </c>
      <c r="Q137" t="inlineStr">
        <is>
          <t>proposals</t>
        </is>
      </c>
      <c r="R137" t="n">
        <v>11801</v>
      </c>
      <c r="S137" t="inlineStr">
        <is>
          <t>succeeded</t>
        </is>
      </c>
      <c r="T137" t="inlineStr">
        <is>
          <t>acra-regen-1 acra-standard; 3 parts failed</t>
        </is>
      </c>
    </row>
    <row r="138">
      <c r="A138" t="inlineStr">
        <is>
          <t>2026-10-13</t>
        </is>
      </c>
      <c r="B138" t="inlineStr">
        <is>
          <t>extraction</t>
        </is>
      </c>
      <c r="C138" t="inlineStr">
        <is>
          <t>extract jtbd</t>
        </is>
      </c>
      <c r="D138" t="inlineStr">
        <is>
          <t>cdf8405c0fe3451bbacab0ce090d8251</t>
        </is>
      </c>
      <c r="E138" t="inlineStr">
        <is>
          <t>flex_gpt-6-luna</t>
        </is>
      </c>
      <c r="F138" t="n">
        <v>2</v>
      </c>
      <c r="G138" t="n">
        <v>6</v>
      </c>
      <c r="H138" t="n">
        <v>5382</v>
      </c>
      <c r="I138" t="n">
        <v>0</v>
      </c>
      <c r="J138" t="n">
        <v>3039</v>
      </c>
      <c r="K138" t="n">
        <v>0.0049418625</v>
      </c>
      <c r="L138" t="b">
        <v>0</v>
      </c>
      <c r="M138" t="n">
        <v>3.4</v>
      </c>
      <c r="N138" t="n">
        <v>1</v>
      </c>
      <c r="O138" t="inlineStr">
        <is>
          <t>parts</t>
        </is>
      </c>
      <c r="P138" t="n">
        <v>13</v>
      </c>
      <c r="Q138" t="inlineStr">
        <is>
          <t>proposals</t>
        </is>
      </c>
      <c r="R138" t="n">
        <v>10220</v>
      </c>
      <c r="S138" t="inlineStr">
        <is>
          <t>succeeded</t>
        </is>
      </c>
      <c r="T138" t="inlineStr">
        <is>
          <t>acra-regen-1 acra-platinum; 0 parts failed</t>
        </is>
      </c>
    </row>
    <row r="139">
      <c r="A139" t="inlineStr">
        <is>
          <t>2026-10-13</t>
        </is>
      </c>
      <c r="B139" t="inlineStr">
        <is>
          <t>extraction</t>
        </is>
      </c>
      <c r="C139" t="inlineStr">
        <is>
          <t>extract python</t>
        </is>
      </c>
      <c r="D139" t="inlineStr">
        <is>
          <t>99bb6b11ae774b5ca2239060dc2be2c2</t>
        </is>
      </c>
      <c r="E139" t="inlineStr">
        <is>
          <t>flex_gpt-6-luna</t>
        </is>
      </c>
      <c r="F139" t="n">
        <v>44</v>
      </c>
      <c r="G139" t="n">
        <v>132</v>
      </c>
      <c r="H139" t="n">
        <v>27658</v>
      </c>
      <c r="I139" t="n">
        <v>0</v>
      </c>
      <c r="J139" t="n">
        <v>71703</v>
      </c>
      <c r="K139" t="n">
        <v>0.03093453750000001</v>
      </c>
      <c r="L139" t="b">
        <v>0</v>
      </c>
      <c r="M139" t="n">
        <v>130.4</v>
      </c>
      <c r="N139" t="n">
        <v>48</v>
      </c>
      <c r="O139" t="inlineStr">
        <is>
          <t>parts</t>
        </is>
      </c>
      <c r="P139" t="n">
        <v>22</v>
      </c>
      <c r="Q139" t="inlineStr">
        <is>
          <t>proposals</t>
        </is>
      </c>
      <c r="R139" t="n">
        <v>11801</v>
      </c>
      <c r="S139" t="inlineStr">
        <is>
          <t>succeeded</t>
        </is>
      </c>
      <c r="T139" t="inlineStr">
        <is>
          <t>acra-regen-1 acra-standard; 4 parts failed</t>
        </is>
      </c>
    </row>
    <row r="140">
      <c r="A140" t="inlineStr">
        <is>
          <t>2026-10-14</t>
        </is>
      </c>
      <c r="B140" t="inlineStr">
        <is>
          <t>analysis</t>
        </is>
      </c>
      <c r="C140" t="inlineStr">
        <is>
          <t>review comparison</t>
        </is>
      </c>
      <c r="D140" t="inlineStr">
        <is>
          <t>coverage/regen_2/compare/compare_sets.json</t>
        </is>
      </c>
      <c r="E140" t="inlineStr"/>
      <c r="F140" t="n">
        <v>507</v>
      </c>
      <c r="G140" t="n">
        <v>1131683</v>
      </c>
      <c r="H140" t="n">
        <v>115329</v>
      </c>
      <c r="K140" t="n">
        <v>0.3128</v>
      </c>
      <c r="L140" t="b">
        <v>0</v>
      </c>
      <c r="N140" t="n">
        <v>507</v>
      </c>
      <c r="O140" t="inlineStr">
        <is>
          <t>items</t>
        </is>
      </c>
      <c r="Q140" t="inlineStr"/>
      <c r="S140" t="inlineStr">
        <is>
          <t>done</t>
        </is>
      </c>
      <c r="T140" t="inlineStr"/>
    </row>
    <row r="141">
      <c r="A141" t="inlineStr">
        <is>
          <t>2026-10-14</t>
        </is>
      </c>
      <c r="B141" t="inlineStr">
        <is>
          <t>extraction</t>
        </is>
      </c>
      <c r="C141" t="inlineStr">
        <is>
          <t>extract alignment</t>
        </is>
      </c>
      <c r="D141" t="inlineStr">
        <is>
          <t>48d2662a75b440359b4a3d98c718304e</t>
        </is>
      </c>
      <c r="E141" t="inlineStr">
        <is>
          <t>flex_gpt-6-luna</t>
        </is>
      </c>
      <c r="F141" t="n">
        <v>54</v>
      </c>
      <c r="G141" t="n">
        <v>162</v>
      </c>
      <c r="H141" t="n">
        <v>7913</v>
      </c>
      <c r="I141" t="n">
        <v>0</v>
      </c>
      <c r="J141" t="n">
        <v>44538</v>
      </c>
      <c r="K141" t="n">
        <v>0.0267189125</v>
      </c>
      <c r="L141" t="b">
        <v>0</v>
      </c>
      <c r="M141" t="n">
        <v>6.1</v>
      </c>
      <c r="N141" t="n">
        <v>47</v>
      </c>
      <c r="O141" t="inlineStr">
        <is>
          <t>parts</t>
        </is>
      </c>
      <c r="P141" t="n">
        <v>7</v>
      </c>
      <c r="Q141" t="inlineStr">
        <is>
          <t>proposals</t>
        </is>
      </c>
      <c r="R141" t="n">
        <v>0</v>
      </c>
      <c r="S141" t="inlineStr">
        <is>
          <t>succeeded</t>
        </is>
      </c>
      <c r="T141" t="inlineStr">
        <is>
          <t>acra-regen-2 ; 0 parts failed</t>
        </is>
      </c>
    </row>
    <row r="142">
      <c r="A142" t="inlineStr">
        <is>
          <t>2026-10-14</t>
        </is>
      </c>
      <c r="B142" t="inlineStr">
        <is>
          <t>extraction</t>
        </is>
      </c>
      <c r="C142" t="inlineStr">
        <is>
          <t>extract alignment</t>
        </is>
      </c>
      <c r="D142" t="inlineStr">
        <is>
          <t>d58edc0452e0422084b370bbfe233bfc</t>
        </is>
      </c>
      <c r="E142" t="inlineStr">
        <is>
          <t>flex_gpt-6-luna</t>
        </is>
      </c>
      <c r="F142" t="n">
        <v>54</v>
      </c>
      <c r="G142" t="n">
        <v>162</v>
      </c>
      <c r="H142" t="n">
        <v>7269</v>
      </c>
      <c r="I142" t="n">
        <v>0</v>
      </c>
      <c r="J142" t="n">
        <v>40896</v>
      </c>
      <c r="K142" t="n">
        <v>0.02564335000000001</v>
      </c>
      <c r="L142" t="b">
        <v>0</v>
      </c>
      <c r="M142" t="n">
        <v>5.1</v>
      </c>
      <c r="N142" t="n">
        <v>47</v>
      </c>
      <c r="O142" t="inlineStr">
        <is>
          <t>parts</t>
        </is>
      </c>
      <c r="P142" t="n">
        <v>7</v>
      </c>
      <c r="Q142" t="inlineStr">
        <is>
          <t>proposals</t>
        </is>
      </c>
      <c r="R142" t="n">
        <v>0</v>
      </c>
      <c r="S142" t="inlineStr">
        <is>
          <t>succeeded</t>
        </is>
      </c>
      <c r="T142" t="inlineStr">
        <is>
          <t>acra-regen-2 ; 0 parts failed</t>
        </is>
      </c>
    </row>
    <row r="143">
      <c r="A143" t="inlineStr">
        <is>
          <t>2026-10-14</t>
        </is>
      </c>
      <c r="B143" t="inlineStr">
        <is>
          <t>extraction</t>
        </is>
      </c>
      <c r="C143" t="inlineStr">
        <is>
          <t>extract jtbd</t>
        </is>
      </c>
      <c r="D143" t="inlineStr">
        <is>
          <t>b8f1bdae7b5d49e794264a8443f86fdc</t>
        </is>
      </c>
      <c r="E143" t="inlineStr">
        <is>
          <t>flex_gpt-6-luna</t>
        </is>
      </c>
      <c r="F143" t="n">
        <v>13</v>
      </c>
      <c r="G143" t="n">
        <v>39</v>
      </c>
      <c r="H143" t="n">
        <v>63296</v>
      </c>
      <c r="I143" t="n">
        <v>0</v>
      </c>
      <c r="J143" t="n">
        <v>26015</v>
      </c>
      <c r="K143" t="n">
        <v>0.0279645125</v>
      </c>
      <c r="L143" t="b">
        <v>0</v>
      </c>
      <c r="M143" t="n">
        <v>29.2</v>
      </c>
      <c r="N143" t="n">
        <v>12</v>
      </c>
      <c r="O143" t="inlineStr">
        <is>
          <t>parts</t>
        </is>
      </c>
      <c r="P143" t="n">
        <v>159</v>
      </c>
      <c r="Q143" t="inlineStr">
        <is>
          <t>proposals</t>
        </is>
      </c>
      <c r="R143" t="n">
        <v>11801</v>
      </c>
      <c r="S143" t="inlineStr">
        <is>
          <t>succeeded</t>
        </is>
      </c>
      <c r="T143" t="inlineStr">
        <is>
          <t>acra-regen-1 acra-standard; 0 parts failed</t>
        </is>
      </c>
    </row>
    <row r="144">
      <c r="A144" t="inlineStr">
        <is>
          <t>2026-10-14</t>
        </is>
      </c>
      <c r="B144" t="inlineStr">
        <is>
          <t>extraction</t>
        </is>
      </c>
      <c r="C144" t="inlineStr">
        <is>
          <t>extract jtbd</t>
        </is>
      </c>
      <c r="D144" t="inlineStr">
        <is>
          <t>7940572a42704e518e42cfdd575f9429</t>
        </is>
      </c>
      <c r="E144" t="inlineStr">
        <is>
          <t>flex_gpt-6-luna</t>
        </is>
      </c>
      <c r="F144" t="n">
        <v>12</v>
      </c>
      <c r="G144" t="n">
        <v>36</v>
      </c>
      <c r="H144" t="n">
        <v>62720</v>
      </c>
      <c r="I144" t="n">
        <v>0</v>
      </c>
      <c r="J144" t="n">
        <v>20077</v>
      </c>
      <c r="K144" t="n">
        <v>0.0268988</v>
      </c>
      <c r="L144" t="b">
        <v>0</v>
      </c>
      <c r="M144" t="n">
        <v>29.6</v>
      </c>
      <c r="N144" t="n">
        <v>11</v>
      </c>
      <c r="O144" t="inlineStr">
        <is>
          <t>parts</t>
        </is>
      </c>
      <c r="P144" t="n">
        <v>130</v>
      </c>
      <c r="Q144" t="inlineStr">
        <is>
          <t>proposals</t>
        </is>
      </c>
      <c r="R144" t="n">
        <v>11801</v>
      </c>
      <c r="S144" t="inlineStr">
        <is>
          <t>succeeded</t>
        </is>
      </c>
      <c r="T144" t="inlineStr">
        <is>
          <t>acra-regen-2 acra-standard; 0 parts failed</t>
        </is>
      </c>
    </row>
    <row r="145">
      <c r="A145" t="inlineStr">
        <is>
          <t>2026-10-14</t>
        </is>
      </c>
      <c r="B145" t="inlineStr">
        <is>
          <t>extraction</t>
        </is>
      </c>
      <c r="C145" t="inlineStr">
        <is>
          <t>extract jtbd</t>
        </is>
      </c>
      <c r="D145" t="inlineStr">
        <is>
          <t>2bc85d2e0f0240e28aaf856d7ff5e2ed</t>
        </is>
      </c>
      <c r="E145" t="inlineStr">
        <is>
          <t>flex_gpt-6-luna</t>
        </is>
      </c>
      <c r="F145" t="n">
        <v>13</v>
      </c>
      <c r="G145" t="n">
        <v>39</v>
      </c>
      <c r="H145" t="n">
        <v>55238</v>
      </c>
      <c r="I145" t="n">
        <v>4200</v>
      </c>
      <c r="J145" t="n">
        <v>31056</v>
      </c>
      <c r="K145" t="n">
        <v>0.0265912625</v>
      </c>
      <c r="L145" t="b">
        <v>0</v>
      </c>
      <c r="M145" t="n">
        <v>57.8</v>
      </c>
      <c r="N145" t="n">
        <v>12</v>
      </c>
      <c r="O145" t="inlineStr">
        <is>
          <t>parts</t>
        </is>
      </c>
      <c r="P145" t="n">
        <v>128</v>
      </c>
      <c r="Q145" t="inlineStr">
        <is>
          <t>proposals</t>
        </is>
      </c>
      <c r="R145" t="n">
        <v>10220</v>
      </c>
      <c r="S145" t="inlineStr">
        <is>
          <t>succeeded</t>
        </is>
      </c>
      <c r="T145" t="inlineStr">
        <is>
          <t>acra-regen-2 acra-platinum; 0 parts failed</t>
        </is>
      </c>
    </row>
    <row r="146">
      <c r="A146" t="inlineStr">
        <is>
          <t>2026-10-14</t>
        </is>
      </c>
      <c r="B146" t="inlineStr">
        <is>
          <t>extraction</t>
        </is>
      </c>
      <c r="C146" t="inlineStr">
        <is>
          <t>extract python</t>
        </is>
      </c>
      <c r="D146" t="inlineStr">
        <is>
          <t>fa7edfac0b4742909797c400c2801d2c</t>
        </is>
      </c>
      <c r="E146" t="inlineStr">
        <is>
          <t>flex_gpt-6-luna</t>
        </is>
      </c>
      <c r="F146" t="n">
        <v>48</v>
      </c>
      <c r="G146" t="n">
        <v>144</v>
      </c>
      <c r="H146" t="n">
        <v>31203</v>
      </c>
      <c r="I146" t="n">
        <v>0</v>
      </c>
      <c r="J146" t="n">
        <v>78856</v>
      </c>
      <c r="K146" t="n">
        <v>0.034150325</v>
      </c>
      <c r="L146" t="b">
        <v>0</v>
      </c>
      <c r="M146" t="n">
        <v>48</v>
      </c>
      <c r="N146" t="n">
        <v>48</v>
      </c>
      <c r="O146" t="inlineStr">
        <is>
          <t>parts</t>
        </is>
      </c>
      <c r="P146" t="n">
        <v>23</v>
      </c>
      <c r="Q146" t="inlineStr">
        <is>
          <t>proposals</t>
        </is>
      </c>
      <c r="R146" t="n">
        <v>11801</v>
      </c>
      <c r="S146" t="inlineStr">
        <is>
          <t>succeeded</t>
        </is>
      </c>
      <c r="T146" t="inlineStr">
        <is>
          <t>acra-regen-1 acra-standard; 0 parts failed</t>
        </is>
      </c>
    </row>
    <row r="147">
      <c r="A147" t="inlineStr">
        <is>
          <t>2026-10-14</t>
        </is>
      </c>
      <c r="B147" t="inlineStr">
        <is>
          <t>extraction</t>
        </is>
      </c>
      <c r="C147" t="inlineStr">
        <is>
          <t>extract python</t>
        </is>
      </c>
      <c r="D147" t="inlineStr">
        <is>
          <t>274cdd3b222b4955b368e436b54fbf1f</t>
        </is>
      </c>
      <c r="E147" t="inlineStr">
        <is>
          <t>flex_gpt-6-luna</t>
        </is>
      </c>
      <c r="F147" t="n">
        <v>42</v>
      </c>
      <c r="G147" t="n">
        <v>126</v>
      </c>
      <c r="H147" t="n">
        <v>17187</v>
      </c>
      <c r="I147" t="n">
        <v>0</v>
      </c>
      <c r="J147" t="n">
        <v>65743</v>
      </c>
      <c r="K147" t="n">
        <v>0.02648017499999999</v>
      </c>
      <c r="L147" t="b">
        <v>0</v>
      </c>
      <c r="M147" t="n">
        <v>42.2</v>
      </c>
      <c r="N147" t="n">
        <v>42</v>
      </c>
      <c r="O147" t="inlineStr">
        <is>
          <t>parts</t>
        </is>
      </c>
      <c r="P147" t="n">
        <v>26</v>
      </c>
      <c r="Q147" t="inlineStr">
        <is>
          <t>proposals</t>
        </is>
      </c>
      <c r="R147" t="n">
        <v>10220</v>
      </c>
      <c r="S147" t="inlineStr">
        <is>
          <t>succeeded</t>
        </is>
      </c>
      <c r="T147" t="inlineStr">
        <is>
          <t>acra-regen-1 acra-platinum; 0 parts failed</t>
        </is>
      </c>
    </row>
    <row r="148">
      <c r="A148" t="inlineStr">
        <is>
          <t>2026-10-14</t>
        </is>
      </c>
      <c r="B148" t="inlineStr">
        <is>
          <t>extraction</t>
        </is>
      </c>
      <c r="C148" t="inlineStr">
        <is>
          <t>extract python</t>
        </is>
      </c>
      <c r="D148" t="inlineStr">
        <is>
          <t>34e5307e08014d789d3e70a9665cdb58</t>
        </is>
      </c>
      <c r="E148" t="inlineStr">
        <is>
          <t>flex_gpt-6-luna</t>
        </is>
      </c>
      <c r="F148" t="n">
        <v>42</v>
      </c>
      <c r="G148" t="n">
        <v>126</v>
      </c>
      <c r="H148" t="n">
        <v>18750</v>
      </c>
      <c r="I148" t="n">
        <v>4866</v>
      </c>
      <c r="J148" t="n">
        <v>58075</v>
      </c>
      <c r="K148" t="n">
        <v>0.02503638</v>
      </c>
      <c r="L148" t="b">
        <v>0</v>
      </c>
      <c r="M148" t="n">
        <v>75.2</v>
      </c>
      <c r="N148" t="n">
        <v>42</v>
      </c>
      <c r="O148" t="inlineStr">
        <is>
          <t>parts</t>
        </is>
      </c>
      <c r="P148" t="n">
        <v>24</v>
      </c>
      <c r="Q148" t="inlineStr">
        <is>
          <t>proposals</t>
        </is>
      </c>
      <c r="R148" t="n">
        <v>10220</v>
      </c>
      <c r="S148" t="inlineStr">
        <is>
          <t>succeeded</t>
        </is>
      </c>
      <c r="T148" t="inlineStr">
        <is>
          <t>acra-regen-2 acra-platinum; 0 parts failed</t>
        </is>
      </c>
    </row>
    <row r="149">
      <c r="A149" t="inlineStr">
        <is>
          <t>2026-10-14</t>
        </is>
      </c>
      <c r="B149" t="inlineStr">
        <is>
          <t>extraction</t>
        </is>
      </c>
      <c r="C149" t="inlineStr">
        <is>
          <t>extract python</t>
        </is>
      </c>
      <c r="D149" t="inlineStr">
        <is>
          <t>0c71784b398d4e6fa9317eca93877ae0</t>
        </is>
      </c>
      <c r="E149" t="inlineStr">
        <is>
          <t>flex_gpt-6-luna</t>
        </is>
      </c>
      <c r="F149" t="n">
        <v>48</v>
      </c>
      <c r="G149" t="n">
        <v>144</v>
      </c>
      <c r="H149" t="n">
        <v>33829</v>
      </c>
      <c r="I149" t="n">
        <v>9434</v>
      </c>
      <c r="J149" t="n">
        <v>83332</v>
      </c>
      <c r="K149" t="n">
        <v>0.03579737</v>
      </c>
      <c r="L149" t="b">
        <v>0</v>
      </c>
      <c r="M149" t="n">
        <v>109.9</v>
      </c>
      <c r="N149" t="n">
        <v>48</v>
      </c>
      <c r="O149" t="inlineStr">
        <is>
          <t>parts</t>
        </is>
      </c>
      <c r="P149" t="n">
        <v>23</v>
      </c>
      <c r="Q149" t="inlineStr">
        <is>
          <t>proposals</t>
        </is>
      </c>
      <c r="R149" t="n">
        <v>11801</v>
      </c>
      <c r="S149" t="inlineStr">
        <is>
          <t>succeeded</t>
        </is>
      </c>
      <c r="T149" t="inlineStr">
        <is>
          <t>acra-regen-2 acra-standard; 0 parts failed</t>
        </is>
      </c>
    </row>
    <row r="150">
      <c r="A150" t="inlineStr">
        <is>
          <t>2026-10-14</t>
        </is>
      </c>
      <c r="B150" t="inlineStr">
        <is>
          <t>extraction</t>
        </is>
      </c>
      <c r="C150" t="inlineStr">
        <is>
          <t>extract python_jobs</t>
        </is>
      </c>
      <c r="D150" t="inlineStr">
        <is>
          <t>5383d031afd34af893417f042bc13aa5</t>
        </is>
      </c>
      <c r="E150" t="inlineStr">
        <is>
          <t>flex_gpt-6-luna</t>
        </is>
      </c>
      <c r="F150" t="n">
        <v>86</v>
      </c>
      <c r="G150" t="n">
        <v>258</v>
      </c>
      <c r="H150" t="n">
        <v>32035</v>
      </c>
      <c r="I150" t="n">
        <v>0</v>
      </c>
      <c r="J150" t="n">
        <v>98560</v>
      </c>
      <c r="K150" t="n">
        <v>0.04574502500000002</v>
      </c>
      <c r="L150" t="b">
        <v>0</v>
      </c>
      <c r="M150" t="n">
        <v>37.4</v>
      </c>
      <c r="N150" t="n">
        <v>85</v>
      </c>
      <c r="O150" t="inlineStr">
        <is>
          <t>parts</t>
        </is>
      </c>
      <c r="P150" t="n">
        <v>77</v>
      </c>
      <c r="Q150" t="inlineStr">
        <is>
          <t>proposals</t>
        </is>
      </c>
      <c r="R150" t="n">
        <v>10220</v>
      </c>
      <c r="S150" t="inlineStr">
        <is>
          <t>succeeded</t>
        </is>
      </c>
      <c r="T150" t="inlineStr">
        <is>
          <t>acra-regen-2 acra-platinum; 0 parts failed</t>
        </is>
      </c>
    </row>
    <row r="151">
      <c r="A151" t="inlineStr">
        <is>
          <t>2026-10-14</t>
        </is>
      </c>
      <c r="B151" t="inlineStr">
        <is>
          <t>extraction</t>
        </is>
      </c>
      <c r="C151" t="inlineStr">
        <is>
          <t>extract python_jobs</t>
        </is>
      </c>
      <c r="D151" t="inlineStr">
        <is>
          <t>6fb3048efc4f445e936205d6ca42eaef</t>
        </is>
      </c>
      <c r="E151" t="inlineStr">
        <is>
          <t>flex_gpt-6-luna</t>
        </is>
      </c>
      <c r="F151" t="n">
        <v>66</v>
      </c>
      <c r="G151" t="n">
        <v>198</v>
      </c>
      <c r="H151" t="n">
        <v>38362</v>
      </c>
      <c r="I151" t="n">
        <v>0</v>
      </c>
      <c r="J151" t="n">
        <v>82900</v>
      </c>
      <c r="K151" t="n">
        <v>0.04081958749999998</v>
      </c>
      <c r="L151" t="b">
        <v>0</v>
      </c>
      <c r="M151" t="n">
        <v>32.6</v>
      </c>
      <c r="N151" t="n">
        <v>65</v>
      </c>
      <c r="O151" t="inlineStr">
        <is>
          <t>parts</t>
        </is>
      </c>
      <c r="P151" t="n">
        <v>53</v>
      </c>
      <c r="Q151" t="inlineStr">
        <is>
          <t>proposals</t>
        </is>
      </c>
      <c r="R151" t="n">
        <v>11801</v>
      </c>
      <c r="S151" t="inlineStr">
        <is>
          <t>succeeded</t>
        </is>
      </c>
      <c r="T151" t="inlineStr">
        <is>
          <t>acra-regen-2 acra-standard; 0 parts failed</t>
        </is>
      </c>
    </row>
    <row r="152">
      <c r="A152" t="inlineStr">
        <is>
          <t>2026-10-14</t>
        </is>
      </c>
      <c r="B152" t="inlineStr">
        <is>
          <t>extraction</t>
        </is>
      </c>
      <c r="C152" t="inlineStr">
        <is>
          <t>extract python_jobs</t>
        </is>
      </c>
      <c r="D152" t="inlineStr">
        <is>
          <t>b1a6d75837704ad19f9be1293b623630</t>
        </is>
      </c>
      <c r="E152" t="inlineStr"/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b">
        <v>0</v>
      </c>
      <c r="M152" t="n">
        <v>29.6</v>
      </c>
      <c r="N152" t="n">
        <v>52</v>
      </c>
      <c r="O152" t="inlineStr">
        <is>
          <t>parts</t>
        </is>
      </c>
      <c r="P152" t="n">
        <v>43</v>
      </c>
      <c r="Q152" t="inlineStr">
        <is>
          <t>proposals</t>
        </is>
      </c>
      <c r="R152" t="n">
        <v>10220</v>
      </c>
      <c r="S152" t="inlineStr">
        <is>
          <t>failed</t>
        </is>
      </c>
      <c r="T152" t="inlineStr">
        <is>
          <t xml:space="preserve">acra-regen-2 acra-platinum; 0 parts failed; no progress since 2026-10-14T04:38:44.840378+00:00; its process stopped. Submit </t>
        </is>
      </c>
    </row>
    <row r="153">
      <c r="A153" t="inlineStr">
        <is>
          <t>2026-10-14</t>
        </is>
      </c>
      <c r="B153" t="inlineStr">
        <is>
          <t>extraction</t>
        </is>
      </c>
      <c r="C153" t="inlineStr">
        <is>
          <t>extract python_jobs</t>
        </is>
      </c>
      <c r="D153" t="inlineStr">
        <is>
          <t>6ebab6129119410283cd663ab8028c3d</t>
        </is>
      </c>
      <c r="E153" t="inlineStr"/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b">
        <v>0</v>
      </c>
      <c r="M153" t="n">
        <v>29.6</v>
      </c>
      <c r="N153" t="n">
        <v>46</v>
      </c>
      <c r="O153" t="inlineStr">
        <is>
          <t>parts</t>
        </is>
      </c>
      <c r="P153" t="n">
        <v>32</v>
      </c>
      <c r="Q153" t="inlineStr">
        <is>
          <t>proposals</t>
        </is>
      </c>
      <c r="R153" t="n">
        <v>11801</v>
      </c>
      <c r="S153" t="inlineStr">
        <is>
          <t>failed</t>
        </is>
      </c>
      <c r="T153" t="inlineStr">
        <is>
          <t xml:space="preserve">acra-regen-2 acra-standard; 0 parts failed; no progress since 2026-10-14T04:38:48.319300+00:00; its process stopped. Submit 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activity</t>
        </is>
      </c>
      <c r="C1" t="inlineStr">
        <is>
          <t>rows</t>
        </is>
      </c>
      <c r="D1" t="inlineStr">
        <is>
          <t>cost_usd</t>
        </is>
      </c>
      <c r="E1" t="inlineStr">
        <is>
          <t>minutes</t>
        </is>
      </c>
    </row>
    <row r="2">
      <c r="A2" t="inlineStr">
        <is>
          <t>agent session</t>
        </is>
      </c>
      <c r="B2" t="inlineStr">
        <is>
          <t>agent headless</t>
        </is>
      </c>
      <c r="C2" t="n">
        <v>73</v>
      </c>
      <c r="D2" t="n">
        <v>66.73950000000001</v>
      </c>
      <c r="E2" t="n">
        <v>0</v>
      </c>
    </row>
    <row r="3">
      <c r="A3" t="inlineStr">
        <is>
          <t>agent session</t>
        </is>
      </c>
      <c r="B3" t="inlineStr">
        <is>
          <t>agent interactive</t>
        </is>
      </c>
      <c r="C3" t="n">
        <v>24</v>
      </c>
      <c r="D3" t="n">
        <v>2778.046</v>
      </c>
      <c r="E3" t="n">
        <v>0</v>
      </c>
    </row>
    <row r="4">
      <c r="A4" t="inlineStr">
        <is>
          <t>analysis</t>
        </is>
      </c>
      <c r="B4" t="inlineStr">
        <is>
          <t>review comparison</t>
        </is>
      </c>
      <c r="C4" t="n">
        <v>3</v>
      </c>
      <c r="D4" t="n">
        <v>0.6297</v>
      </c>
      <c r="E4" t="n">
        <v>0</v>
      </c>
    </row>
    <row r="5">
      <c r="A5" t="inlineStr">
        <is>
          <t>analysis</t>
        </is>
      </c>
      <c r="B5" t="inlineStr">
        <is>
          <t>review coverage</t>
        </is>
      </c>
      <c r="C5" t="n">
        <v>3</v>
      </c>
      <c r="D5" t="n">
        <v>0.1177</v>
      </c>
      <c r="E5" t="n">
        <v>0</v>
      </c>
    </row>
    <row r="6">
      <c r="A6" t="inlineStr">
        <is>
          <t>evaluation</t>
        </is>
      </c>
      <c r="B6" t="inlineStr">
        <is>
          <t>eval case_run</t>
        </is>
      </c>
      <c r="C6" t="n">
        <v>11</v>
      </c>
      <c r="D6" t="n">
        <v>1.659</v>
      </c>
      <c r="E6" t="n">
        <v>47.9</v>
      </c>
    </row>
    <row r="7">
      <c r="A7" t="inlineStr">
        <is>
          <t>extraction</t>
        </is>
      </c>
      <c r="B7" t="inlineStr">
        <is>
          <t>extract alignment</t>
        </is>
      </c>
      <c r="C7" t="n">
        <v>3</v>
      </c>
      <c r="D7" t="n">
        <v>0.08169999999999999</v>
      </c>
      <c r="E7" t="n">
        <v>27.3</v>
      </c>
    </row>
    <row r="8">
      <c r="A8" t="inlineStr">
        <is>
          <t>extraction</t>
        </is>
      </c>
      <c r="B8" t="inlineStr">
        <is>
          <t>extract catalog</t>
        </is>
      </c>
      <c r="C8" t="n">
        <v>1</v>
      </c>
      <c r="D8" t="n">
        <v>0.0277</v>
      </c>
      <c r="E8" t="n">
        <v>3.8</v>
      </c>
    </row>
    <row r="9">
      <c r="A9" t="inlineStr">
        <is>
          <t>extraction</t>
        </is>
      </c>
      <c r="B9" t="inlineStr">
        <is>
          <t>extract jtbd</t>
        </is>
      </c>
      <c r="C9" t="n">
        <v>15</v>
      </c>
      <c r="D9" t="n">
        <v>0.2149</v>
      </c>
      <c r="E9" t="n">
        <v>597.3</v>
      </c>
    </row>
    <row r="10">
      <c r="A10" t="inlineStr">
        <is>
          <t>extraction</t>
        </is>
      </c>
      <c r="B10" t="inlineStr">
        <is>
          <t>extract python</t>
        </is>
      </c>
      <c r="C10" t="n">
        <v>13</v>
      </c>
      <c r="D10" t="n">
        <v>0.3679</v>
      </c>
      <c r="E10" t="n">
        <v>944.8</v>
      </c>
    </row>
    <row r="11">
      <c r="A11" t="inlineStr">
        <is>
          <t>extraction</t>
        </is>
      </c>
      <c r="B11" t="inlineStr">
        <is>
          <t>extract python_jobs</t>
        </is>
      </c>
      <c r="C11" t="n">
        <v>6</v>
      </c>
      <c r="D11" t="n">
        <v>0.1215</v>
      </c>
      <c r="E11" t="n">
        <v>163.1</v>
      </c>
    </row>
    <row r="12">
      <c r="A12" t="inlineStr">
        <is>
          <t>all</t>
        </is>
      </c>
      <c r="B12" t="inlineStr"/>
      <c r="C12" t="n">
        <v>152</v>
      </c>
      <c r="D12" t="n">
        <v>2848.0056</v>
      </c>
      <c r="E12" t="n">
        <v>1784.2</v>
      </c>
    </row>
    <row r="14">
      <c r="A14" t="inlineStr">
        <is>
          <t>guideline document</t>
        </is>
      </c>
      <c r="B14" t="inlineStr">
        <is>
          <t>words</t>
        </is>
      </c>
    </row>
    <row r="15">
      <c r="A15" t="inlineStr">
        <is>
          <t>Acra_DSCR_Standard_Consolidated_Guidelines_v1_0.docx</t>
        </is>
      </c>
      <c r="B15" t="n">
        <v>11801</v>
      </c>
    </row>
    <row r="16">
      <c r="A16" t="inlineStr">
        <is>
          <t>Acra_DSCR_Platinum_Select_Consolidated_Guidelines_v1_0 1.docx</t>
        </is>
      </c>
      <c r="B16" t="n">
        <v>10220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activity</t>
        </is>
      </c>
      <c r="B1" t="inlineStr">
        <is>
          <t>rows</t>
        </is>
      </c>
      <c r="C1" t="inlineStr">
        <is>
          <t>cost_per_row</t>
        </is>
      </c>
      <c r="D1" t="inlineStr">
        <is>
          <t>minutes_per_row</t>
        </is>
      </c>
      <c r="E1" t="inlineStr">
        <is>
          <t>cost_per_unit</t>
        </is>
      </c>
      <c r="F1" t="inlineStr">
        <is>
          <t>unit</t>
        </is>
      </c>
      <c r="G1" t="inlineStr">
        <is>
          <t>cost_per_1k_words</t>
        </is>
      </c>
      <c r="H1" t="inlineStr">
        <is>
          <t>minutes_per_1k_words</t>
        </is>
      </c>
      <c r="I1" t="inlineStr">
        <is>
          <t>outputs_per_1k_words</t>
        </is>
      </c>
      <c r="J1" t="inlineStr">
        <is>
          <t>total_cost</t>
        </is>
      </c>
    </row>
    <row r="2">
      <c r="A2" t="inlineStr">
        <is>
          <t>agent headless</t>
        </is>
      </c>
      <c r="B2" t="n">
        <v>65</v>
      </c>
      <c r="C2" t="n">
        <v>0.7215</v>
      </c>
      <c r="E2" t="n">
        <v>0.7215</v>
      </c>
      <c r="F2" t="inlineStr">
        <is>
          <t>turns</t>
        </is>
      </c>
      <c r="J2" t="n">
        <v>66.73950000000001</v>
      </c>
    </row>
    <row r="3">
      <c r="A3" t="inlineStr">
        <is>
          <t>agent interactive</t>
        </is>
      </c>
      <c r="B3" t="n">
        <v>24</v>
      </c>
      <c r="C3" t="n">
        <v>53.216</v>
      </c>
      <c r="E3" t="n">
        <v>2.569037</v>
      </c>
      <c r="F3" t="inlineStr">
        <is>
          <t>turns</t>
        </is>
      </c>
      <c r="J3" t="n">
        <v>2778.046</v>
      </c>
    </row>
    <row r="4">
      <c r="A4" t="inlineStr">
        <is>
          <t>eval case_run</t>
        </is>
      </c>
      <c r="B4" t="n">
        <v>11</v>
      </c>
      <c r="C4" t="n">
        <v>0.026925</v>
      </c>
      <c r="D4" t="n">
        <v>1.5</v>
      </c>
      <c r="E4" t="n">
        <v>0.005385</v>
      </c>
      <c r="F4" t="inlineStr">
        <is>
          <t>cases</t>
        </is>
      </c>
      <c r="J4" t="n">
        <v>1.659</v>
      </c>
    </row>
    <row r="5">
      <c r="A5" t="inlineStr">
        <is>
          <t>extract alignment</t>
        </is>
      </c>
      <c r="B5" t="n">
        <v>3</v>
      </c>
      <c r="C5" t="n">
        <v>0.026719</v>
      </c>
      <c r="D5" t="n">
        <v>6.1</v>
      </c>
      <c r="E5" t="n">
        <v>0.000546</v>
      </c>
      <c r="F5" t="inlineStr">
        <is>
          <t>parts</t>
        </is>
      </c>
      <c r="J5" t="n">
        <v>0.08169999999999999</v>
      </c>
    </row>
    <row r="6">
      <c r="A6" t="inlineStr">
        <is>
          <t>extract catalog</t>
        </is>
      </c>
      <c r="B6" t="n">
        <v>1</v>
      </c>
      <c r="C6" t="n">
        <v>0.027702</v>
      </c>
      <c r="D6" t="n">
        <v>3.8</v>
      </c>
      <c r="E6" t="n">
        <v>0.000923</v>
      </c>
      <c r="F6" t="inlineStr">
        <is>
          <t>parts</t>
        </is>
      </c>
      <c r="G6" t="n">
        <v>0.001258</v>
      </c>
      <c r="H6" t="n">
        <v>0.172563</v>
      </c>
      <c r="I6" t="n">
        <v>21.388674</v>
      </c>
      <c r="J6" t="n">
        <v>0.0277</v>
      </c>
    </row>
    <row r="7">
      <c r="A7" t="inlineStr">
        <is>
          <t>extract jtbd</t>
        </is>
      </c>
      <c r="B7" t="n">
        <v>11</v>
      </c>
      <c r="C7" t="n">
        <v>0.021596</v>
      </c>
      <c r="D7" t="n">
        <v>31</v>
      </c>
      <c r="E7" t="n">
        <v>0.001745</v>
      </c>
      <c r="F7" t="inlineStr">
        <is>
          <t>parts</t>
        </is>
      </c>
      <c r="G7" t="n">
        <v>0.00183</v>
      </c>
      <c r="H7" t="n">
        <v>3.033268</v>
      </c>
      <c r="I7" t="n">
        <v>5.508008</v>
      </c>
      <c r="J7" t="n">
        <v>0.2149</v>
      </c>
    </row>
    <row r="8">
      <c r="A8" t="inlineStr">
        <is>
          <t>extract python</t>
        </is>
      </c>
      <c r="B8" t="n">
        <v>13</v>
      </c>
      <c r="C8" t="n">
        <v>0.02719</v>
      </c>
      <c r="D8" t="n">
        <v>55.3</v>
      </c>
      <c r="E8" t="n">
        <v>0.00063</v>
      </c>
      <c r="F8" t="inlineStr">
        <is>
          <t>parts</t>
        </is>
      </c>
      <c r="G8" t="n">
        <v>0.002591</v>
      </c>
      <c r="H8" t="n">
        <v>4.991102</v>
      </c>
      <c r="I8" t="n">
        <v>2.250489</v>
      </c>
      <c r="J8" t="n">
        <v>0.3679</v>
      </c>
    </row>
    <row r="9">
      <c r="A9" t="inlineStr">
        <is>
          <t>extract python_jobs</t>
        </is>
      </c>
      <c r="B9" t="n">
        <v>4</v>
      </c>
      <c r="C9" t="n">
        <v>0.031458</v>
      </c>
      <c r="D9" t="n">
        <v>27.4</v>
      </c>
      <c r="E9" t="n">
        <v>0.00062</v>
      </c>
      <c r="F9" t="inlineStr">
        <is>
          <t>parts</t>
        </is>
      </c>
      <c r="G9" t="n">
        <v>0.002666</v>
      </c>
      <c r="H9" t="n">
        <v>2.321837</v>
      </c>
      <c r="I9" t="n">
        <v>3.27297</v>
      </c>
      <c r="J9" t="n">
        <v>0.1215</v>
      </c>
    </row>
    <row r="10">
      <c r="A10" t="inlineStr">
        <is>
          <t>review comparison</t>
        </is>
      </c>
      <c r="B10" t="n">
        <v>3</v>
      </c>
      <c r="C10" t="n">
        <v>0.2958</v>
      </c>
      <c r="E10" t="n">
        <v>0.00066</v>
      </c>
      <c r="F10" t="inlineStr">
        <is>
          <t>items</t>
        </is>
      </c>
      <c r="J10" t="n">
        <v>0.6297</v>
      </c>
    </row>
    <row r="11">
      <c r="A11" t="inlineStr">
        <is>
          <t>review coverage</t>
        </is>
      </c>
      <c r="B11" t="n">
        <v>3</v>
      </c>
      <c r="C11" t="n">
        <v>0.0304</v>
      </c>
      <c r="E11" t="n">
        <v>0.000179</v>
      </c>
      <c r="F11" t="inlineStr">
        <is>
          <t>items</t>
        </is>
      </c>
      <c r="J11" t="n">
        <v>0.1177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input</t>
        </is>
      </c>
      <c r="B1" t="inlineStr">
        <is>
          <t>value</t>
        </is>
      </c>
      <c r="C1" t="inlineStr">
        <is>
          <t>note</t>
        </is>
      </c>
    </row>
    <row r="2">
      <c r="A2" t="inlineStr">
        <is>
          <t>guideline words (all documents)</t>
        </is>
      </c>
      <c r="B2" t="n">
        <v>22021</v>
      </c>
      <c r="C2" t="inlineStr">
        <is>
          <t>the Acra pair, as a default</t>
        </is>
      </c>
    </row>
    <row r="3">
      <c r="A3" t="inlineStr">
        <is>
          <t>guideline documents (programs)</t>
        </is>
      </c>
      <c r="B3" t="n">
        <v>2</v>
      </c>
      <c r="C3" t="inlineStr"/>
    </row>
    <row r="4">
      <c r="A4" t="inlineStr">
        <is>
          <t>extraction attempts per document per representation</t>
        </is>
      </c>
      <c r="B4" t="n">
        <v>2</v>
      </c>
      <c r="C4" t="inlineStr">
        <is>
          <t>one retry when a part fails</t>
        </is>
      </c>
    </row>
    <row r="5">
      <c r="A5" t="inlineStr">
        <is>
          <t>eval cases</t>
        </is>
      </c>
      <c r="B5" t="n">
        <v>5</v>
      </c>
      <c r="C5" t="inlineStr">
        <is>
          <t>Acra gold set size today</t>
        </is>
      </c>
    </row>
    <row r="6">
      <c r="A6" t="inlineStr">
        <is>
          <t>eval iterations</t>
        </is>
      </c>
      <c r="B6" t="n">
        <v>10</v>
      </c>
      <c r="C6" t="inlineStr">
        <is>
          <t>experiments while tuning the pack (11 so far for Acra)</t>
        </is>
      </c>
    </row>
    <row r="7">
      <c r="A7" t="inlineStr">
        <is>
          <t>review items (jobs and rules compared)</t>
        </is>
      </c>
      <c r="B7" t="n">
        <v>1000</v>
      </c>
      <c r="C7" t="inlineStr">
        <is>
          <t>this review compared about 1000</t>
        </is>
      </c>
    </row>
    <row r="9">
      <c r="A9" t="inlineStr">
        <is>
          <t>forecast</t>
        </is>
      </c>
      <c r="B9" t="inlineStr">
        <is>
          <t>cost_usd</t>
        </is>
      </c>
      <c r="C9" t="inlineStr">
        <is>
          <t>minutes (flex tier; runs in parallel pairs)</t>
        </is>
      </c>
    </row>
    <row r="10">
      <c r="A10" t="inlineStr">
        <is>
          <t>extract jtbd</t>
        </is>
      </c>
      <c r="B10">
        <f>$B$2/1000*Rates!$G$7*$B$4</f>
        <v/>
      </c>
      <c r="C10">
        <f>$B$2/1000*Rates!$H$7*$B$4/$B$3</f>
        <v/>
      </c>
    </row>
    <row r="11">
      <c r="A11" t="inlineStr">
        <is>
          <t>extract python</t>
        </is>
      </c>
      <c r="B11">
        <f>$B$2/1000*Rates!$G$8*$B$4</f>
        <v/>
      </c>
      <c r="C11">
        <f>$B$2/1000*Rates!$H$8*$B$4/$B$3</f>
        <v/>
      </c>
    </row>
    <row r="12">
      <c r="A12" t="inlineStr">
        <is>
          <t>extract catalog</t>
        </is>
      </c>
      <c r="B12">
        <f>$B$2/1000*Rates!$G$6*1</f>
        <v/>
      </c>
      <c r="C12">
        <f>$B$2/1000*Rates!$H$6*1/$B$3</f>
        <v/>
      </c>
    </row>
    <row r="13">
      <c r="A13" t="inlineStr">
        <is>
          <t>evaluation</t>
        </is>
      </c>
      <c r="B13">
        <f>$B$6*$B$5*Rates!$E$4</f>
        <v/>
      </c>
      <c r="C13">
        <f>$B$6*Rates!$D$4</f>
        <v/>
      </c>
    </row>
    <row r="14">
      <c r="A14" t="inlineStr">
        <is>
          <t>review (coverage + comparisons)</t>
        </is>
      </c>
      <c r="B14">
        <f>$B$7*AVERAGE(Rates!$E$11,Rates!$E$10)</f>
        <v/>
      </c>
      <c r="C14" t="inlineStr"/>
    </row>
    <row r="15">
      <c r="A15" t="inlineStr">
        <is>
          <t>total model cost (pipeline)</t>
        </is>
      </c>
      <c r="B15">
        <f>SUM(B10:B14)</f>
        <v/>
      </c>
      <c r="C15">
        <f>SUM(C10:C14)</f>
        <v/>
      </c>
    </row>
    <row r="17">
      <c r="A17" t="inlineStr">
        <is>
          <t>agent sessions as observed for Acra (estimate, Acra turns only)</t>
        </is>
      </c>
      <c r="B17" t="n">
        <v>2844.79</v>
      </c>
      <c r="C17" t="inlineStr">
        <is>
          <t>API list prices; building the platform and the pack together, not a pack alone</t>
        </is>
      </c>
    </row>
    <row r="18">
      <c r="A18" t="inlineStr">
        <is>
          <t>agent sessions as observed for Acra (ceiling, whole sessions)</t>
        </is>
      </c>
      <c r="B18" t="n">
        <v>8412.620000000001</v>
      </c>
      <c r="C18" t="inlineStr"/>
    </row>
    <row r="20">
      <c r="A20" t="inlineStr">
        <is>
          <t>Not in this forecast: people's hours; add them to acra_costs_manual.csv.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2026-10-16T04:40:37Z</dcterms:created>
  <dcterms:modified xmlns:dcterms="http://purl.org/dc/terms/" xmlns:xsi="http://www.w3.org/2001/XMLSchema-instance" xsi:type="dcterms:W3CDTF">2026-10-16T04:40:37Z</dcterms:modified>
</cp:coreProperties>
</file>